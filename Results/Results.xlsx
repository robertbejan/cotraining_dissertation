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tate\Disertatie\mainProject\pythonProject1\"/>
    </mc:Choice>
  </mc:AlternateContent>
  <xr:revisionPtr revIDLastSave="0" documentId="13_ncr:1_{4A38A6E2-2036-4FD0-9D5F-296C1CF93A63}" xr6:coauthVersionLast="47" xr6:coauthVersionMax="47" xr10:uidLastSave="{00000000-0000-0000-0000-000000000000}"/>
  <bookViews>
    <workbookView xWindow="-103" yWindow="-103" windowWidth="22149" windowHeight="12549" activeTab="1" xr2:uid="{7C4DB224-D7E7-4677-B31E-EF3E3354B5EE}"/>
  </bookViews>
  <sheets>
    <sheet name="18.12.2025" sheetId="1" r:id="rId1"/>
    <sheet name="16.12.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20" i="1"/>
  <c r="J11" i="1"/>
</calcChain>
</file>

<file path=xl/sharedStrings.xml><?xml version="1.0" encoding="utf-8"?>
<sst xmlns="http://schemas.openxmlformats.org/spreadsheetml/2006/main" count="234" uniqueCount="182">
  <si>
    <t>experiment_id</t>
  </si>
  <si>
    <t>dataset</t>
  </si>
  <si>
    <t>unlabeled_pct</t>
  </si>
  <si>
    <t>cotraining_start</t>
  </si>
  <si>
    <t>conf_rgb</t>
  </si>
  <si>
    <t>conf_fft</t>
  </si>
  <si>
    <t>test_rgb_acc</t>
  </si>
  <si>
    <t>test_fft_acc</t>
  </si>
  <si>
    <t>test_combined_acc</t>
  </si>
  <si>
    <t>rgb_confusion_matrix</t>
  </si>
  <si>
    <t>fft_confusion_matrix</t>
  </si>
  <si>
    <t>combined_confusion_matrix</t>
  </si>
  <si>
    <t>num_classes</t>
  </si>
  <si>
    <t>final_rgb_size</t>
  </si>
  <si>
    <t>final_fft_size</t>
  </si>
  <si>
    <t>unlabeled_used</t>
  </si>
  <si>
    <t>rgb_pseudo_samples</t>
  </si>
  <si>
    <t>fft_pseudo_samples</t>
  </si>
  <si>
    <t>timestamp</t>
  </si>
  <si>
    <t>large_20_start5_rgb0.95_fft0.9</t>
  </si>
  <si>
    <t>large_20</t>
  </si>
  <si>
    <t xml:space="preserve">
 105    0    0    0   35    2
   0  594    1    0   22    1
   0    0  161    0   47    0
   1    0    0  322    2    0
  10    6    7    1  808   11
   0    1    0    0   42  301
</t>
  </si>
  <si>
    <t xml:space="preserve">
  42   26    1    0   47   26
   9  540    4    2   60    3
   2   24  105    0   70    7
   0    1    0  323    1    0
  29   55   21    6  685   47
   9    8    0    0   26  301
</t>
  </si>
  <si>
    <t xml:space="preserve">
 102    0    0    0   35    5
   0  595    0    0   22    1
   0    1  159    0   48    0
   1    0    0  324    0    0
   9    8    8    3  798   17
   0    1    0    0   28  315
</t>
  </si>
  <si>
    <t>2025-11-15 01:17:38</t>
  </si>
  <si>
    <t>large_20_start5_rgb0.9_fft0.85</t>
  </si>
  <si>
    <t xml:space="preserve">
 133    2    0    0    5    2
   1  614    0    0    2    1
   0    1  170    0   37    0
   1    0    0  321    3    0
  18   10   20    1  763   31
   0    1    0    0    7  336
</t>
  </si>
  <si>
    <t xml:space="preserve">
   9   69    0    0   48   16
   0  580    0    1   37    0
   2   90   78    0   34    4
   0    3    0  319    3    0
   2  134    9    4  658   36
   1   40    0    0   25  278
</t>
  </si>
  <si>
    <t xml:space="preserve">
 128    3    0    0    7    4
   0  615    0    0    3    0
   0    8  167    0   32    1
   1    0    0  322    2    0
  15   23   13    1  763   28
   0    2    0    0    5  337
</t>
  </si>
  <si>
    <t>2025-11-15 03:25:24</t>
  </si>
  <si>
    <t>large_20_start5_rgb0.85_fft0.8</t>
  </si>
  <si>
    <t xml:space="preserve">
 117    4    0    0   16    5
   0  614    1    0    2    1
   0    0  178    0   30    0
   1    1    0  320    3    0
  11   13   27    2  773   17
   1    1    0    0   29  313
</t>
  </si>
  <si>
    <t xml:space="preserve">
  20   65    2    0   48    7
   2  591    1    0   24    0
   4   46  125    0   33    0
   0    1    0  321    3    0
  17  113   16    4  668   25
  10   49    0    0   40  245
</t>
  </si>
  <si>
    <t xml:space="preserve">
 114    6    0    0   18    4
   0  615    1    0    2    0
   0    6  173    0   29    0
   1    0    0  323    1    0
  10   19   25    3  766   20
   0    6    0    0   21  317
</t>
  </si>
  <si>
    <t>2025-11-15 05:34:30</t>
  </si>
  <si>
    <t>large_20_start7_rgb0.95_fft0.9</t>
  </si>
  <si>
    <t xml:space="preserve">
 124    0    0    0   17    1
   0  614    0    0    4    0
   0    0  150    0   58    0
   1    0    0  323    1    0
  12    9    9    2  793   18
   2    0    1    0   22  319
</t>
  </si>
  <si>
    <t xml:space="preserve">
  14   65    2    0   51   10
   0  584    1    0   33    0
   1   44  125    0   38    0
   1    2    0  312   10    0
   6  121   23    2  665   26
   3   47    1    0   31  262
</t>
  </si>
  <si>
    <t xml:space="preserve">
 122    1    0    0   17    2
   0  614    0    0    4    0
   0    4  156    0   48    0
   1    0    0  323    1    0
  10   18    9    2  785   19
   1    0    1    0   16  326
</t>
  </si>
  <si>
    <t>2025-11-15 07:40:59</t>
  </si>
  <si>
    <t>large_20_start7_rgb0.9_fft0.85</t>
  </si>
  <si>
    <t xml:space="preserve">
 126    1    0    0   15    0
   0  614    0    0    3    1
   0    0  177    0   31    0
   1    0    0  300   24    0
  13    9   24    1  780   16
   7    0    0    0   30  307
</t>
  </si>
  <si>
    <t xml:space="preserve">
   3   97    2    0   33    7
   0  605    1    2   10    0
   0   62  124    0   22    0
   0    1    0  322    2    0
   4  150   20    5  641   23
   0   47    2    1   32  262
</t>
  </si>
  <si>
    <t xml:space="preserve">
 122    3    0    0   15    2
   0  615    0    0    3    0
   0    5  175    0   28    0
   1    0    0  320    4    0
  10   21   24    1  769   18
   4    2    1    0   26  311
</t>
  </si>
  <si>
    <t>2025-11-15 09:47:25</t>
  </si>
  <si>
    <t>large_20_start7_rgb0.85_fft0.8</t>
  </si>
  <si>
    <t xml:space="preserve">
 119    2    0    0   20    1
   0  614    1    0    3    0
   0    0  186    0   22    0
   1    0    0  320    4    0
  13   13   27    1  771   18
   1    3    1    0   18  321
</t>
  </si>
  <si>
    <t xml:space="preserve">
  35   28   10    0   54   15
   8  513    8    1   86    2
   1   20  148    0   37    2
   0    1    0  318    6    0
  15   45   42    3  709   29
   7   19    5    0   49  264
</t>
  </si>
  <si>
    <t xml:space="preserve">
 115    1    1    0   24    1
   0  613    1    0    4    0
   0    1  184    0   23    0
   1    0    0  322    2    0
  11   13   29    1  770   19
   0    4    1    0   16  323
</t>
  </si>
  <si>
    <t>2025-11-15 12:07:46</t>
  </si>
  <si>
    <t>large_20_start10_rgb0.95_fft0.9</t>
  </si>
  <si>
    <t xml:space="preserve">
 128    0    0    0   12    2
   0  611    0    0    5    2
   0    0  190    0   18    0
   1    0    0  323    1    0
  13   11   39    2  751   27
   0    1    0    0   15  328
</t>
  </si>
  <si>
    <t xml:space="preserve">
  54   32    2    1   42   11
  10  520    4    0   78    6
  12   19  111    0   63    3
   1    0    0  321    3    0
  33   46   17    6  707   34
  20   11    1    0   35  277
</t>
  </si>
  <si>
    <t xml:space="preserve">
 126    1    0    0   12    3
   0  611    0    0    6    1
   0    1  188    0   19    0
   1    0    0  323    1    0
  12   12   32    3  758   26
   0    2    0    0   17  325
</t>
  </si>
  <si>
    <t>2025-11-15 14:12:13</t>
  </si>
  <si>
    <t>large_20_start10_rgb0.9_fft0.85</t>
  </si>
  <si>
    <t xml:space="preserve">
 136    0    0    0    6    0
   0  613    0    0    5    0
   0    0  179    0   29    0
   1    0    0  320    4    0
  19   12   31    1  765   15
   1    3    1    0   29  310
</t>
  </si>
  <si>
    <t xml:space="preserve">
  25   13    4    1   83   16
   9  452   33    1  116    7
   0    9  149    0   47    3
   0    1    0  322    2    0
  14   27   32    5  728   37
  12    7    3    0   39  283
</t>
  </si>
  <si>
    <t xml:space="preserve">
 133    0    0    0    8    1
   0  612    0    0    6    0
   0    1  178    0   29    0
   1    0    0  323    1    0
  17   13   34    2  759   18
   0    2    1    0   22  319
</t>
  </si>
  <si>
    <t>2025-11-15 16:17:04</t>
  </si>
  <si>
    <t>large_20_start10_rgb0.85_fft0.8</t>
  </si>
  <si>
    <t xml:space="preserve">
  96   15    0    0   29    2
   0  616    1    0    1    0
   0    0  181    0   27    0
   0    1    0  323    1    0
   7   13   32    2  777   12
   0    5    0    0   37  302
</t>
  </si>
  <si>
    <t xml:space="preserve">
  49   53    0    0   32    8
   7  583    2    0   26    0
   8   45  117    0   37    1
   1    4    0  319    1    0
  31  108   12    3  664   25
  15   38    0    0   43  248
</t>
  </si>
  <si>
    <t xml:space="preserve">
  91   20    0    0   28    3
   0  614    1    0    3    0
   0    3  176    0   29    0
   0    1    0  323    1    0
   5   18   27    3  776   14
   0    8    0    0   33  303
</t>
  </si>
  <si>
    <t>2025-11-15 18:22:15</t>
  </si>
  <si>
    <t>organized_50_start5_rgb0.95_fft0.9</t>
  </si>
  <si>
    <t>organized_50</t>
  </si>
  <si>
    <t xml:space="preserve">
  95    0    0    0   20   27
   0  599    0    0   10    9
   0    4  164    0   40    0
   1    0    0  320    4    0
   6   11   18    3  774   31
   1    1    0    0   17  325
</t>
  </si>
  <si>
    <t xml:space="preserve">
  13   23    0    0   63   43
   1  468    5    2  119   23
   1   19  100    0   65   23
   1    0    0  323    0    1
   5   36   11    6  722   63
   0   10    0    0   16  318
</t>
  </si>
  <si>
    <t xml:space="preserve">
  84    0    0    0   27   31
   0  589    0    1   20    8
   0    4  157    0   46    1
   1    0    0  324    0    0
   5   13   16    4  766   39
   0    1    0    0    7  336
</t>
  </si>
  <si>
    <t>2025-11-13 21:17:24</t>
  </si>
  <si>
    <t>organized_50_start5_rgb0.9_fft0.85</t>
  </si>
  <si>
    <t xml:space="preserve">
  98    3    0    0   31   10
   0  608    1    0    7    2
   0    0  183    0   25    0
   1    0    0  323    1    0
   9   12   25    6  763   28
   0    1    0    0   15  328
</t>
  </si>
  <si>
    <t xml:space="preserve">
  28   39    1    0   44   30
   7  538    2    1   64    6
   5   44   96    0   48   15
   0    1    0  319    3    2
  20   72   12    4  683   52
  12   16    1    0   19  296
</t>
  </si>
  <si>
    <t xml:space="preserve">
  80    6    0    0   37   19
   0  605    0    0   11    2
   0    1  176    0   31    0
   1    0    0  324    0    0
   8   14   24    4  760   33
   0    1    0    0   12  331
</t>
  </si>
  <si>
    <t>2025-11-13 23:03:32</t>
  </si>
  <si>
    <t>organized_50_start5_rgb0.85_fft0.8</t>
  </si>
  <si>
    <t xml:space="preserve">
   9   91    2    0   34    6
   1  587    2    1   26    1
   0   73  113    0   22    0
   1    2    0  320    2    0
   2  162   18    4  632   25
   3   80    1    0   32  228
</t>
  </si>
  <si>
    <t xml:space="preserve">
  66   36    1    0   30    9
   0  605    0    1   12    0
   0   32  158    0   18    0
   0    1    0  324    0    0
   3   71   22    4  716   27
   0   20    0    0   15  309
</t>
  </si>
  <si>
    <t>2025-11-14 00:49:58</t>
  </si>
  <si>
    <t>organized_50_start7_rgb0.95_fft0.9</t>
  </si>
  <si>
    <t xml:space="preserve">
  10   76    2    0   23   31
   2  565    2    0   30   19
   2   49  110    0   29   18
   0    1    0  321    1    2
  19  111   19    5  627   62
   2   25    0    0   15  302
</t>
  </si>
  <si>
    <t xml:space="preserve">
  92   14    0    0   25   11
   0  610    0    0    7    1
   0   10  170    0   27    1
   0    1    0  324    0    0
   7   21   37    3  746   29
   1    7    0    0   12  324
</t>
  </si>
  <si>
    <t>2025-11-14 02:32:03</t>
  </si>
  <si>
    <t>organized_50_start7_rgb0.9_fft0.85</t>
  </si>
  <si>
    <t xml:space="preserve">
  38   61    1    0   32   10
   6  563    3    0   46    0
   7   52  119    0   30    0
   0    1    0  312   12    0
  22  126   15    3  654   23
  14   46    1    0   60  223
</t>
  </si>
  <si>
    <t xml:space="preserve">
 105    8    0    0   26    3
   0  605    0    0   13    0
   0   12  173    0   23    0
   0    1    0  324    0    0
   9   27   31    4  753   19
   0    8    0    0   32  304
</t>
  </si>
  <si>
    <t>2025-11-14 04:13:59</t>
  </si>
  <si>
    <t>organized_50_start7_rgb0.85_fft0.8</t>
  </si>
  <si>
    <t xml:space="preserve">
  17   59    0    0   47   19
   4  545    0    1   64    4
   1   58   80    0   68    1
   0    3    0  320    2    0
   3  124    6    5  674   31
   3   31    0    0   40  270
</t>
  </si>
  <si>
    <t xml:space="preserve">
 124    4    0    0    9    5
   0  616    0    0    2    0
   0   14  169    0   24    1
   1    0    0  324    0    0
  21   28   32    3  728   31
   2    4    0    0    9  329
</t>
  </si>
  <si>
    <t>2025-11-14 05:56:21</t>
  </si>
  <si>
    <t>organized_50_start10_rgb0.95_fft0.9</t>
  </si>
  <si>
    <t xml:space="preserve">
   5   66    8    0   31   32
   2  583    8    1   20    4
   2   35  146    0   21    4
   0    2    0  321    2    0
   5  127   44    7  608   52
   1   32    6    1   11  293
</t>
  </si>
  <si>
    <t xml:space="preserve">
  65   40    0    0   26   11
   0  617    0    0    1    0
   0   24  165    0   18    1
   0    1    0  324    0    0
   4   43   30    3  734   29
   0   25    0    0   10  309
</t>
  </si>
  <si>
    <t>2025-11-14 07:31:15</t>
  </si>
  <si>
    <t>organized_50_start10_rgb0.9_fft0.85</t>
  </si>
  <si>
    <t xml:space="preserve">
   1   61    0    0   42   38
   0  553    1    2   53    9
   0   55   67    0   82    4
   0    1    0  322    0    2
   0  103    6    4  691   39
   0   26    0    2   36  280
</t>
  </si>
  <si>
    <t xml:space="preserve">
  90    4    0    0   42    6
   0  610    0    1    6    1
   0    2  167    0   39    0
   1    0    0  323    1    0
   8   16   17    3  778   21
   2    7    0    1   26  308
</t>
  </si>
  <si>
    <t>2025-11-14 09:08:00</t>
  </si>
  <si>
    <t>organized_50_start10_rgb0.85_fft0.8</t>
  </si>
  <si>
    <t xml:space="preserve">
 117    0    0    0   24    1
   0  597    0    0   21    0
   0    0  156    0   52    0
   1    0    0  322    2    0
  14    9   12    3  793   12
   1    1    0    0   60  282
</t>
  </si>
  <si>
    <t xml:space="preserve">
  27   61    0    0   33   21
   1  573    1    1   38    4
   4   62   77    0   54   11
   0    1    0  319    5    0
  12  133   11    4  640   43
   6   28    0    0   20  290
</t>
  </si>
  <si>
    <t xml:space="preserve">
 111    1    0    0   25    5
   0  602    0    0   16    0
   0   12  141    0   55    0
   1    0    0  323    1    0
  14   12   13    3  779   22
   1    2    0    0   35  306
</t>
  </si>
  <si>
    <t>2025-11-14 10:49:54</t>
  </si>
  <si>
    <t>small_80_start5_rgb0.95_fft0.9</t>
  </si>
  <si>
    <t>small_80</t>
  </si>
  <si>
    <t xml:space="preserve">
  68   48    0    0   20    6
   1  615    1    0    1    0
   0   18  171    0   19    0
   0    1    0  324    0    0
   8   81   44    5  685   20
   1   28    2    1   33  279
</t>
  </si>
  <si>
    <t xml:space="preserve">
   0  109    0   10   12   11
   0  603    0    5    4    6
   0  121   64    1   21    1
   0    1    0  323    0    1
   1  272   11   36  483   40
   0   87    1    9    6  241
</t>
  </si>
  <si>
    <t xml:space="preserve">
  50   70    0    1   12    9
   0  618    0    0    0    0
   0   47  145    1   14    1
   0    1    0  324    0    0
   6  139   24   12  635   27
   1   45    0    7   11  280
</t>
  </si>
  <si>
    <t>2025-11-11 22:36:35</t>
  </si>
  <si>
    <t>small_80_start5_rgb0.9_fft0.85</t>
  </si>
  <si>
    <t xml:space="preserve">
  36   83    0    0   21    2
   0  616    0    0    2    0
   0   79  105    0   24    0
   0    4    0  321    0    0
   3  132   14    5  666   23
   0   87    0    0   17  240
</t>
  </si>
  <si>
    <t xml:space="preserve">
   7   99    0    1   28    7
   3  584    0    1   29    1
   1   87   22    0   97    1
   0    4    0  318    3    0
   9  184    3    8  610   29
   8   87    0    0   42  207
</t>
  </si>
  <si>
    <t xml:space="preserve">
  21   94    0    0   26    1
   0  616    0    0    2    0
   0   83   77    0   48    0
   0    3    0  322    0    0
   2  132    4    5  672   28
   0   81    0    1   15  247
</t>
  </si>
  <si>
    <t>2025-11-12 00:03:24</t>
  </si>
  <si>
    <t>small_80_start5_rgb0.85_fft0.8</t>
  </si>
  <si>
    <t xml:space="preserve">
 123    7    0    0    8    4
   2  609    0    0    4    3
   0   69  125    0   14    0
   0    1    0  324    0    0
  24   66   19    8  698   28
  19   35    0    0   16  274
</t>
  </si>
  <si>
    <t xml:space="preserve">
   0   86    1    0   31   24
   0  583    0    0   29    6
   0   91   70    0   39    8
   0    6    0  315    3    1
   1  192    9    5  594   42
   0   60    0    0   21  263
</t>
  </si>
  <si>
    <t xml:space="preserve">
 104   18    0    0   12    8
   0  607    0    0   10    1
   0   83  104    0   19    2
   0    1    0  324    0    0
  15  100   10    7  679   32
  13   43    0    0   12  276
</t>
  </si>
  <si>
    <t>2025-11-12 01:31:09</t>
  </si>
  <si>
    <t>small_80_start7_rgb0.95_fft0.9</t>
  </si>
  <si>
    <t xml:space="preserve">
 118    7    0    0   17    0
   0  598    0    0   20    0
   0   14  141    0   53    0
   0    0    0  324    1    0
  16   30   25    7  749   16
   4   30    0    1   58  251
</t>
  </si>
  <si>
    <t xml:space="preserve">
   8   68    0    0   33   33
   2  545    0    0   58   13
   0   84   49    0   64   11
   1    1    0  318    4    1
  19  139    6    3  615   61
   2   55    1    0   43  243
</t>
  </si>
  <si>
    <t xml:space="preserve">
 107   11    0    0   21    3
   0  596    0    0   22    0
   0   30  120    0   58    0
   0    0    0  324    1    0
  12   53   18    5  736   19
   2   34    0    0   45  263
</t>
  </si>
  <si>
    <t>2025-11-12 02:50:41</t>
  </si>
  <si>
    <t>small_80_start7_rgb0.9_fft0.85</t>
  </si>
  <si>
    <t xml:space="preserve">
 112   11    0    0   14    5
   1  616    0    0    0    1
   0    2  196    0    9    1
   1    0    0  324    0    0
  17   41   61    5  688   31
   1   20    0    1   12  310
</t>
  </si>
  <si>
    <t xml:space="preserve">
   0  111    0    0   28    3
   0  599    0    0   19    0
   0  135   29    0   44    0
   0    5    0  320    0    0
   0  230    3    5  580   25
   2  106    0    0   43  193
</t>
  </si>
  <si>
    <t xml:space="preserve">
  99   29    0    0   13    1
   0  616    0    0    2    0
   0   33  165    0   10    0
   0    2    0  323    0    0
  10   83   34    4  684   28
   1   37    0    1   15  290
</t>
  </si>
  <si>
    <t>2025-11-12 04:10:30</t>
  </si>
  <si>
    <t>small_80_start7_rgb0.85_fft0.8</t>
  </si>
  <si>
    <t xml:space="preserve">
  94   25    0    0   11   12
   1  614    0    0    2    1
   0   46  144    0   17    1
   0    1    0  324    0    0
  13  116   23    4  670   17
   0   46    0    0   27  271
</t>
  </si>
  <si>
    <t xml:space="preserve">
   7   38    1    0   48   48
   5  533    0    3   56   21
   3   61   46    0   83   15
   0    1    0  323    0    1
  15   98    6   12  653   59
   4   29    1    3   77  230
</t>
  </si>
  <si>
    <t xml:space="preserve">
  86   23    0    0   15   18
   0  612    0    1    5    0
   0   51  126    0   29    2
   0    1    0  324    0    0
   9  108   13    4  688   21
   0   37    0    0   40  267
</t>
  </si>
  <si>
    <t>2025-11-12 05:31:02</t>
  </si>
  <si>
    <t>small_80_start10_rgb0.95_fft0.9</t>
  </si>
  <si>
    <t xml:space="preserve">
 119    1    0    0    6   16
   3  604    0    0    3    8
   1    1  186    0   20    0
   1    0    0  324    0    0
  33   11   46    4  695   54
   4    2    0    0    7  331
</t>
  </si>
  <si>
    <t xml:space="preserve">
   2   88    0    2   18   32
   0  595    1    2   16    4
   0   81   95    1   24    7
   0    2    0  322    0    1
   0  208   33   12  533   57
   0   65    0    4   14  261
</t>
  </si>
  <si>
    <t xml:space="preserve">
 103   14    0    0    7   18
   0  611    0    1    1    5
   1   24  169    0   14    0
   0    1    0  324    0    0
  20   57   35    4  682   45
   3   12    0    1    4  324
</t>
  </si>
  <si>
    <t>2025-11-12 06:39:43</t>
  </si>
  <si>
    <t>small_80_start10_rgb0.9_fft0.85</t>
  </si>
  <si>
    <t xml:space="preserve">
  67    0    0    0   73    2
   0  587    2    0   25    4
   0    0  165    0   43    0
   1    0    0  317    7    0
   5    5   28    2  791   12
   2    3    0    0  111  228
</t>
  </si>
  <si>
    <t xml:space="preserve">
   4   64    0    4   44   26
   0  543    1    4   63    7
   0   75   41    1   85    6
   1    1    0  321    2    0
   8  116    4   16  663   36
   1   56    0    4   61  222
</t>
  </si>
  <si>
    <t xml:space="preserve">
  63    0    0    0   76    3
   0  591    1    1   25    0
   0    7  150    0   51    0
   0    0    0  322    3    0
   3   11   22    2  791   14
   1    4    0    1   88  250
</t>
  </si>
  <si>
    <t>2025-11-12 07:48:45</t>
  </si>
  <si>
    <t>small_80_start10_rgb0.85_fft0.8</t>
  </si>
  <si>
    <t xml:space="preserve">
 114    2    0    0   10   16
   2  611    0    0    2    3
   0    9  163    0   36    0
   1    0    0  324    0    0
  21   28   36    6  720   32
   2   10    1    0   13  318
</t>
  </si>
  <si>
    <t xml:space="preserve">
   3   73    0    0   48   18
   0  555    3    2   51    7
   0   68   57    0   75    8
   0    3    0  322    0    0
   1  141    7    5  660   29
   1   61    1    1   79  201
</t>
  </si>
  <si>
    <t xml:space="preserve">
 104    7    0    0   18   13
   0  614    0    0    3    1
   0   25  139    0   44    0
   1    0    0  324    0    0
  18   38   28    4  728   27
   1   11    1    0   18  313
</t>
  </si>
  <si>
    <t>2025-11-12 09:01:17</t>
  </si>
  <si>
    <t>Mean combined</t>
  </si>
  <si>
    <t>Antrenare individuala pe fiecare dataset</t>
  </si>
  <si>
    <t>sciencedirect.com</t>
  </si>
  <si>
    <t>arxiv</t>
  </si>
  <si>
    <t>Elicit</t>
  </si>
  <si>
    <t>copilot, chgpt - directii d ecerectare - ani, conditii</t>
  </si>
  <si>
    <t xml:space="preserve">
  65   29    0    0   29   19
   0  612    0    0    5    1
   0   27  155    0   25    1
   0    1    0  324    0    0
   7   72   33    5  692   34
   1   17    1    0   19  306
</t>
  </si>
  <si>
    <t xml:space="preserve">
   8   42    1    1   32   58
   2  555    0    1   40   20
   4   36  115    0   28   25
   0    1    0  322    1    1
  20   75   19    5  645   79
   0   10    1    1   10  322
</t>
  </si>
  <si>
    <t xml:space="preserve">
  55   30    0    0   31   26
   0  610    0    0    7    1
   0   25  156    0   24    3
   0    1    0  324    0    0
  10   76   30    6  681   40
   0   18    1    0   15  310
</t>
  </si>
  <si>
    <t>2025-12-12 00:25:50</t>
  </si>
  <si>
    <t xml:space="preserve">
 118    3    0    0   17    4
   2  612    0    0    3    1
   0    2  165    0   41    0
   1    0    0  321    3    0
  14   15   18    3  769   24
   1    3    0    0   17  323
</t>
  </si>
  <si>
    <t xml:space="preserve">
  64   31    2    0   30   15
  10  580    2    0   21    5
  10   26  141    0   26    5
   0    0    1  319    4    1
  49   66   29    4  663   32
  29   14    1    0   13  287
</t>
  </si>
  <si>
    <t xml:space="preserve">
 120    4    0    0   15    3
   1  613    0    0    4    0
   0    5  165    0   38    0
   1    0    0  322    2    0
  14   18   20    3  760   28
   1    3    0    0   13  327
</t>
  </si>
  <si>
    <t>2025-12-12 21:38:42</t>
  </si>
  <si>
    <t xml:space="preserve">
 127    1    1    0   10    3
   1  614    1    0    2    0
   0    0  191    0   17    0
   1    0    0  322    2    0
  11   11   42    1  756   22
   0    2    0    0   20  322
</t>
  </si>
  <si>
    <t xml:space="preserve">
  46   16    2    0   65   13
  11  533    8    1   63    2
   1    9  152    0   44    2
   1    0    0  321    3    0
  24   21   28    3  742   25
  11    3    4    0   61  265
</t>
  </si>
  <si>
    <t xml:space="preserve">
 124    1    0    0   13    4
   0  614    1    0    3    0
   0    0  191    0   17    0
   1    0    0  323    1    0
  11   12   35    1  764   20
   0    2    0    0   17  325
</t>
  </si>
  <si>
    <t>2025-12-14 19:45:50</t>
  </si>
  <si>
    <t>Pentru Cotraining - am antrenat doar o singura configuratie pentru fiecare dataset.</t>
  </si>
  <si>
    <t>Rezultate antrenari modele individuale</t>
  </si>
  <si>
    <t>test_gray_acc</t>
  </si>
  <si>
    <t>gray_confusion_matrix</t>
  </si>
  <si>
    <t>gray_pseudo_samples</t>
  </si>
  <si>
    <t>final_gray_size</t>
  </si>
  <si>
    <t>20% labeled</t>
  </si>
  <si>
    <t>50% labeled</t>
  </si>
  <si>
    <t>80% labeled</t>
  </si>
  <si>
    <t>Model FFT / Test</t>
  </si>
  <si>
    <t>Model Gray / Test</t>
  </si>
  <si>
    <t>Model FFT / Validation</t>
  </si>
  <si>
    <t>Model Gray /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</si>
</sst>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6"/>
      <color rgb="FFE3E3E3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NumberForma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20, 5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'18.12.2025'!$A$2:$A$4</c:f>
              <c:strCache>
                <c:ptCount val="3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</c:strCache>
            </c:strRef>
          </c:cat>
          <c:val>
            <c:numRef>
              <c:f>'18.12.2025'!$G$2:$G$4</c:f>
              <c:numCache>
                <c:formatCode>General</c:formatCode>
                <c:ptCount val="3"/>
                <c:pt idx="0">
                  <c:v>0.92379032258064497</c:v>
                </c:pt>
                <c:pt idx="1">
                  <c:v>0.94233870967741895</c:v>
                </c:pt>
                <c:pt idx="2">
                  <c:v>0.93346774193548299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5-4CCC-B2A5-24FA456C4E2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'18.12.2025'!$A$2:$A$4</c:f>
              <c:strCache>
                <c:ptCount val="3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</c:strCache>
            </c:strRef>
          </c:cat>
          <c:val>
            <c:numRef>
              <c:f>'18.12.2025'!$H$2:$H$4</c:f>
              <c:numCache>
                <c:formatCode>General</c:formatCode>
                <c:ptCount val="3"/>
                <c:pt idx="0">
                  <c:v>0.804838709677419</c:v>
                </c:pt>
                <c:pt idx="1">
                  <c:v>0.77500000000000002</c:v>
                </c:pt>
                <c:pt idx="2">
                  <c:v>0.79435483870967705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5-4CCC-B2A5-24FA456C4E2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'18.12.2025'!$A$2:$A$4</c:f>
              <c:strCache>
                <c:ptCount val="3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</c:strCache>
            </c:strRef>
          </c:cat>
          <c:val>
            <c:numRef>
              <c:f>'18.12.2025'!$I$2:$I$4</c:f>
              <c:numCache>
                <c:formatCode>General</c:formatCode>
                <c:ptCount val="3"/>
                <c:pt idx="0">
                  <c:v>0.92459677419354802</c:v>
                </c:pt>
                <c:pt idx="1">
                  <c:v>0.94032258064516105</c:v>
                </c:pt>
                <c:pt idx="2">
                  <c:v>0.93064516129032204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5-4CCC-B2A5-24FA456C4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352927"/>
        <c:axId val="398353887"/>
      </c:barChart>
      <c:catAx>
        <c:axId val="39835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3887"/>
        <c:crosses val="autoZero"/>
        <c:auto val="1"/>
        <c:lblAlgn val="ctr"/>
        <c:lblOffset val="100"/>
        <c:noMultiLvlLbl val="0"/>
      </c:catAx>
      <c:valAx>
        <c:axId val="39835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20, 7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'18.12.2025'!$A$5:$A$7</c:f>
              <c:strCache>
                <c:ptCount val="3"/>
                <c:pt idx="0">
                  <c:v>large_20_start7_rgb0.95_fft0.9</c:v>
                </c:pt>
                <c:pt idx="1">
                  <c:v>large_20_start7_rgb0.9_fft0.85</c:v>
                </c:pt>
                <c:pt idx="2">
                  <c:v>large_20_start7_rgb0.85_fft0.8</c:v>
                </c:pt>
              </c:strCache>
            </c:strRef>
          </c:cat>
          <c:val>
            <c:numRef>
              <c:f>'18.12.2025'!$G$5:$G$7</c:f>
              <c:numCache>
                <c:formatCode>General</c:formatCode>
                <c:ptCount val="3"/>
                <c:pt idx="0">
                  <c:v>0.93669354838709595</c:v>
                </c:pt>
                <c:pt idx="1">
                  <c:v>0.92903225806451595</c:v>
                </c:pt>
                <c:pt idx="2">
                  <c:v>0.93991935483870903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3-4049-8561-9C226A0D985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'18.12.2025'!$A$5:$A$7</c:f>
              <c:strCache>
                <c:ptCount val="3"/>
                <c:pt idx="0">
                  <c:v>large_20_start7_rgb0.95_fft0.9</c:v>
                </c:pt>
                <c:pt idx="1">
                  <c:v>large_20_start7_rgb0.9_fft0.85</c:v>
                </c:pt>
                <c:pt idx="2">
                  <c:v>large_20_start7_rgb0.85_fft0.8</c:v>
                </c:pt>
              </c:strCache>
            </c:strRef>
          </c:cat>
          <c:val>
            <c:numRef>
              <c:f>'18.12.2025'!$H$5:$H$7</c:f>
              <c:numCache>
                <c:formatCode>General</c:formatCode>
                <c:ptCount val="3"/>
                <c:pt idx="0">
                  <c:v>0.79112903225806397</c:v>
                </c:pt>
                <c:pt idx="1">
                  <c:v>0.78911290322580596</c:v>
                </c:pt>
                <c:pt idx="2">
                  <c:v>0.801209677419354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3-4049-8561-9C226A0D985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'18.12.2025'!$A$5:$A$7</c:f>
              <c:strCache>
                <c:ptCount val="3"/>
                <c:pt idx="0">
                  <c:v>large_20_start7_rgb0.95_fft0.9</c:v>
                </c:pt>
                <c:pt idx="1">
                  <c:v>large_20_start7_rgb0.9_fft0.85</c:v>
                </c:pt>
                <c:pt idx="2">
                  <c:v>large_20_start7_rgb0.85_fft0.8</c:v>
                </c:pt>
              </c:strCache>
            </c:strRef>
          </c:cat>
          <c:val>
            <c:numRef>
              <c:f>'18.12.2025'!$I$5:$I$7</c:f>
              <c:numCache>
                <c:formatCode>General</c:formatCode>
                <c:ptCount val="3"/>
                <c:pt idx="0">
                  <c:v>0.93790322580645102</c:v>
                </c:pt>
                <c:pt idx="1">
                  <c:v>0.93225806451612903</c:v>
                </c:pt>
                <c:pt idx="2">
                  <c:v>0.93830645161290305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3-4049-8561-9C226A0D9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371055"/>
        <c:axId val="455362895"/>
      </c:barChart>
      <c:catAx>
        <c:axId val="45537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62895"/>
        <c:crosses val="autoZero"/>
        <c:auto val="1"/>
        <c:lblAlgn val="ctr"/>
        <c:lblOffset val="100"/>
        <c:noMultiLvlLbl val="0"/>
      </c:catAx>
      <c:valAx>
        <c:axId val="45536289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7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20, 10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'18.12.2025'!$A$8:$A$10</c:f>
              <c:strCache>
                <c:ptCount val="3"/>
                <c:pt idx="0">
                  <c:v>large_20_start10_rgb0.95_fft0.9</c:v>
                </c:pt>
                <c:pt idx="1">
                  <c:v>large_20_start10_rgb0.9_fft0.85</c:v>
                </c:pt>
                <c:pt idx="2">
                  <c:v>large_20_start10_rgb0.85_fft0.8</c:v>
                </c:pt>
              </c:strCache>
            </c:strRef>
          </c:cat>
          <c:val>
            <c:numRef>
              <c:f>'18.12.2025'!$G$8:$G$10</c:f>
              <c:numCache>
                <c:formatCode>General</c:formatCode>
                <c:ptCount val="3"/>
                <c:pt idx="0">
                  <c:v>0.93991935483870903</c:v>
                </c:pt>
                <c:pt idx="1">
                  <c:v>0.93669354838709595</c:v>
                </c:pt>
                <c:pt idx="2">
                  <c:v>0.92540322580645096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8-490F-911B-75A87DC372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'18.12.2025'!$A$8:$A$10</c:f>
              <c:strCache>
                <c:ptCount val="3"/>
                <c:pt idx="0">
                  <c:v>large_20_start10_rgb0.95_fft0.9</c:v>
                </c:pt>
                <c:pt idx="1">
                  <c:v>large_20_start10_rgb0.9_fft0.85</c:v>
                </c:pt>
                <c:pt idx="2">
                  <c:v>large_20_start10_rgb0.85_fft0.8</c:v>
                </c:pt>
              </c:strCache>
            </c:strRef>
          </c:cat>
          <c:val>
            <c:numRef>
              <c:f>'18.12.2025'!$H$8:$H$10</c:f>
              <c:numCache>
                <c:formatCode>General</c:formatCode>
                <c:ptCount val="3"/>
                <c:pt idx="0">
                  <c:v>0.80241935483870896</c:v>
                </c:pt>
                <c:pt idx="1">
                  <c:v>0.78991935483870901</c:v>
                </c:pt>
                <c:pt idx="2">
                  <c:v>0.79838709677419295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78-490F-911B-75A87DC372A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'18.12.2025'!$A$8:$A$10</c:f>
              <c:strCache>
                <c:ptCount val="3"/>
                <c:pt idx="0">
                  <c:v>large_20_start10_rgb0.95_fft0.9</c:v>
                </c:pt>
                <c:pt idx="1">
                  <c:v>large_20_start10_rgb0.9_fft0.85</c:v>
                </c:pt>
                <c:pt idx="2">
                  <c:v>large_20_start10_rgb0.85_fft0.8</c:v>
                </c:pt>
              </c:strCache>
            </c:strRef>
          </c:cat>
          <c:val>
            <c:numRef>
              <c:f>'18.12.2025'!$I$8:$I$10</c:f>
              <c:numCache>
                <c:formatCode>General</c:formatCode>
                <c:ptCount val="3"/>
                <c:pt idx="0">
                  <c:v>0.93991935483870903</c:v>
                </c:pt>
                <c:pt idx="1">
                  <c:v>0.93709677419354798</c:v>
                </c:pt>
                <c:pt idx="2">
                  <c:v>0.92056451612903201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78-490F-911B-75A87DC3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4003327"/>
        <c:axId val="354008607"/>
      </c:barChart>
      <c:catAx>
        <c:axId val="35400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08607"/>
        <c:crosses val="autoZero"/>
        <c:auto val="1"/>
        <c:lblAlgn val="ctr"/>
        <c:lblOffset val="100"/>
        <c:noMultiLvlLbl val="0"/>
      </c:catAx>
      <c:valAx>
        <c:axId val="3540086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0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organized 50, 5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'18.12.2025'!$A$11:$A$13</c:f>
              <c:strCache>
                <c:ptCount val="3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</c:strCache>
            </c:strRef>
          </c:cat>
          <c:val>
            <c:numRef>
              <c:f>'18.12.2025'!$G$11:$G$13</c:f>
              <c:numCache>
                <c:formatCode>General</c:formatCode>
                <c:ptCount val="3"/>
                <c:pt idx="0">
                  <c:v>0.91814516129032198</c:v>
                </c:pt>
                <c:pt idx="1">
                  <c:v>0.92862903225806404</c:v>
                </c:pt>
                <c:pt idx="2">
                  <c:v>0.91572580645161294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D-4AEA-9E01-8D617C8272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'18.12.2025'!$A$11:$A$13</c:f>
              <c:strCache>
                <c:ptCount val="3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</c:strCache>
            </c:strRef>
          </c:cat>
          <c:val>
            <c:numRef>
              <c:f>'18.12.2025'!$H$11:$H$13</c:f>
              <c:numCache>
                <c:formatCode>General</c:formatCode>
                <c:ptCount val="3"/>
                <c:pt idx="0">
                  <c:v>0.78387096774193499</c:v>
                </c:pt>
                <c:pt idx="1">
                  <c:v>0.79032258064516103</c:v>
                </c:pt>
                <c:pt idx="2">
                  <c:v>0.76169354838709602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D-4AEA-9E01-8D617C8272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'18.12.2025'!$A$11:$A$13</c:f>
              <c:strCache>
                <c:ptCount val="3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</c:strCache>
            </c:strRef>
          </c:cat>
          <c:val>
            <c:numRef>
              <c:f>'18.12.2025'!$I$11:$I$13</c:f>
              <c:numCache>
                <c:formatCode>General</c:formatCode>
                <c:ptCount val="3"/>
                <c:pt idx="0">
                  <c:v>0.90967741935483803</c:v>
                </c:pt>
                <c:pt idx="1">
                  <c:v>0.91774193548387095</c:v>
                </c:pt>
                <c:pt idx="2">
                  <c:v>0.87822580645161197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D-4AEA-9E01-8D617C827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354367"/>
        <c:axId val="398350047"/>
      </c:barChart>
      <c:catAx>
        <c:axId val="39835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0047"/>
        <c:crosses val="autoZero"/>
        <c:auto val="1"/>
        <c:lblAlgn val="ctr"/>
        <c:lblOffset val="100"/>
        <c:noMultiLvlLbl val="0"/>
      </c:catAx>
      <c:valAx>
        <c:axId val="39835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organized 50, 7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'18.12.2025'!$A$14:$A$16</c:f>
              <c:strCache>
                <c:ptCount val="3"/>
                <c:pt idx="0">
                  <c:v>organized_50_start7_rgb0.95_fft0.9</c:v>
                </c:pt>
                <c:pt idx="1">
                  <c:v>organized_50_start7_rgb0.9_fft0.85</c:v>
                </c:pt>
                <c:pt idx="2">
                  <c:v>organized_50_start7_rgb0.85_fft0.8</c:v>
                </c:pt>
              </c:strCache>
            </c:strRef>
          </c:cat>
          <c:val>
            <c:numRef>
              <c:f>'18.12.2025'!$G$14:$G$16</c:f>
              <c:numCache>
                <c:formatCode>General</c:formatCode>
                <c:ptCount val="3"/>
                <c:pt idx="0">
                  <c:v>0.92298387096774104</c:v>
                </c:pt>
                <c:pt idx="1">
                  <c:v>0.92741935483870896</c:v>
                </c:pt>
                <c:pt idx="2">
                  <c:v>0.931854838709677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C-4671-ACA3-206705D31A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'18.12.2025'!$A$14:$A$16</c:f>
              <c:strCache>
                <c:ptCount val="3"/>
                <c:pt idx="0">
                  <c:v>organized_50_start7_rgb0.95_fft0.9</c:v>
                </c:pt>
                <c:pt idx="1">
                  <c:v>organized_50_start7_rgb0.9_fft0.85</c:v>
                </c:pt>
                <c:pt idx="2">
                  <c:v>organized_50_start7_rgb0.85_fft0.8</c:v>
                </c:pt>
              </c:strCache>
            </c:strRef>
          </c:cat>
          <c:val>
            <c:numRef>
              <c:f>'18.12.2025'!$H$14:$H$16</c:f>
              <c:numCache>
                <c:formatCode>General</c:formatCode>
                <c:ptCount val="3"/>
                <c:pt idx="0">
                  <c:v>0.780241935483871</c:v>
                </c:pt>
                <c:pt idx="1">
                  <c:v>0.76975806451612905</c:v>
                </c:pt>
                <c:pt idx="2">
                  <c:v>0.76854838709677398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C-4671-ACA3-206705D31AE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'18.12.2025'!$A$14:$A$16</c:f>
              <c:strCache>
                <c:ptCount val="3"/>
                <c:pt idx="0">
                  <c:v>organized_50_start7_rgb0.95_fft0.9</c:v>
                </c:pt>
                <c:pt idx="1">
                  <c:v>organized_50_start7_rgb0.9_fft0.85</c:v>
                </c:pt>
                <c:pt idx="2">
                  <c:v>organized_50_start7_rgb0.85_fft0.8</c:v>
                </c:pt>
              </c:strCache>
            </c:strRef>
          </c:cat>
          <c:val>
            <c:numRef>
              <c:f>'18.12.2025'!$I$14:$I$16</c:f>
              <c:numCache>
                <c:formatCode>General</c:formatCode>
                <c:ptCount val="3"/>
                <c:pt idx="0">
                  <c:v>0.91370967741935405</c:v>
                </c:pt>
                <c:pt idx="1">
                  <c:v>0.912903225806451</c:v>
                </c:pt>
                <c:pt idx="2">
                  <c:v>0.92338709677419295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C-4671-ACA3-206705D31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364815"/>
        <c:axId val="455372495"/>
      </c:barChart>
      <c:catAx>
        <c:axId val="45536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72495"/>
        <c:crosses val="autoZero"/>
        <c:auto val="1"/>
        <c:lblAlgn val="ctr"/>
        <c:lblOffset val="100"/>
        <c:noMultiLvlLbl val="0"/>
      </c:catAx>
      <c:valAx>
        <c:axId val="45537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6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organized 50, 10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'18.12.2025'!$A$17:$A$19</c:f>
              <c:strCache>
                <c:ptCount val="3"/>
                <c:pt idx="0">
                  <c:v>organized_50_start10_rgb0.95_fft0.9</c:v>
                </c:pt>
                <c:pt idx="1">
                  <c:v>organized_50_start10_rgb0.9_fft0.85</c:v>
                </c:pt>
                <c:pt idx="2">
                  <c:v>organized_50_start10_rgb0.85_fft0.8</c:v>
                </c:pt>
              </c:strCache>
            </c:strRef>
          </c:cat>
          <c:val>
            <c:numRef>
              <c:f>'18.12.2025'!$G$17:$G$19</c:f>
              <c:numCache>
                <c:formatCode>General</c:formatCode>
                <c:ptCount val="3"/>
                <c:pt idx="0">
                  <c:v>0.90564516129032202</c:v>
                </c:pt>
                <c:pt idx="1">
                  <c:v>0.92338709677419295</c:v>
                </c:pt>
                <c:pt idx="2">
                  <c:v>0.91411290322580596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B-49A5-93B8-378D669C660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'18.12.2025'!$A$17:$A$19</c:f>
              <c:strCache>
                <c:ptCount val="3"/>
                <c:pt idx="0">
                  <c:v>organized_50_start10_rgb0.95_fft0.9</c:v>
                </c:pt>
                <c:pt idx="1">
                  <c:v>organized_50_start10_rgb0.9_fft0.85</c:v>
                </c:pt>
                <c:pt idx="2">
                  <c:v>organized_50_start10_rgb0.85_fft0.8</c:v>
                </c:pt>
              </c:strCache>
            </c:strRef>
          </c:cat>
          <c:val>
            <c:numRef>
              <c:f>'18.12.2025'!$H$17:$H$19</c:f>
              <c:numCache>
                <c:formatCode>General</c:formatCode>
                <c:ptCount val="3"/>
                <c:pt idx="0">
                  <c:v>0.78870967741935405</c:v>
                </c:pt>
                <c:pt idx="1">
                  <c:v>0.77177419354838706</c:v>
                </c:pt>
                <c:pt idx="2">
                  <c:v>0.77661290322580601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B-49A5-93B8-378D669C660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'18.12.2025'!$A$17:$A$19</c:f>
              <c:strCache>
                <c:ptCount val="3"/>
                <c:pt idx="0">
                  <c:v>organized_50_start10_rgb0.95_fft0.9</c:v>
                </c:pt>
                <c:pt idx="1">
                  <c:v>organized_50_start10_rgb0.9_fft0.85</c:v>
                </c:pt>
                <c:pt idx="2">
                  <c:v>organized_50_start10_rgb0.85_fft0.8</c:v>
                </c:pt>
              </c:strCache>
            </c:strRef>
          </c:cat>
          <c:val>
            <c:numRef>
              <c:f>'18.12.2025'!$I$17:$I$19</c:f>
              <c:numCache>
                <c:formatCode>General</c:formatCode>
                <c:ptCount val="3"/>
                <c:pt idx="0">
                  <c:v>0.89274193548387004</c:v>
                </c:pt>
                <c:pt idx="1">
                  <c:v>0.91774193548387095</c:v>
                </c:pt>
                <c:pt idx="2">
                  <c:v>0.91209677419354795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B-49A5-93B8-378D669C6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488655"/>
        <c:axId val="396476175"/>
      </c:barChart>
      <c:catAx>
        <c:axId val="39648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76175"/>
        <c:crosses val="autoZero"/>
        <c:auto val="1"/>
        <c:lblAlgn val="ctr"/>
        <c:lblOffset val="100"/>
        <c:noMultiLvlLbl val="0"/>
      </c:catAx>
      <c:valAx>
        <c:axId val="39647617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80, 5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'18.12.2025'!$A$20:$A$22</c:f>
              <c:strCache>
                <c:ptCount val="3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</c:strCache>
            </c:strRef>
          </c:cat>
          <c:val>
            <c:numRef>
              <c:f>'18.12.2025'!$G$20:$G$22</c:f>
              <c:numCache>
                <c:formatCode>General</c:formatCode>
                <c:ptCount val="3"/>
                <c:pt idx="0">
                  <c:v>0.863709677419354</c:v>
                </c:pt>
                <c:pt idx="1">
                  <c:v>0.8</c:v>
                </c:pt>
                <c:pt idx="2">
                  <c:v>0.86814516129032204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2-4056-8FE8-7AE17FF2E5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'18.12.2025'!$A$20:$A$22</c:f>
              <c:strCache>
                <c:ptCount val="3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</c:strCache>
            </c:strRef>
          </c:cat>
          <c:val>
            <c:numRef>
              <c:f>'18.12.2025'!$H$20:$H$22</c:f>
              <c:numCache>
                <c:formatCode>General</c:formatCode>
                <c:ptCount val="3"/>
                <c:pt idx="0">
                  <c:v>0.69112903225806399</c:v>
                </c:pt>
                <c:pt idx="1">
                  <c:v>0.70483870967741902</c:v>
                </c:pt>
                <c:pt idx="2">
                  <c:v>0.73588709677419295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2-4056-8FE8-7AE17FF2E5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'18.12.2025'!$A$20:$A$22</c:f>
              <c:strCache>
                <c:ptCount val="3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</c:strCache>
            </c:strRef>
          </c:cat>
          <c:val>
            <c:numRef>
              <c:f>'18.12.2025'!$I$20:$I$22</c:f>
              <c:numCache>
                <c:formatCode>General</c:formatCode>
                <c:ptCount val="3"/>
                <c:pt idx="0">
                  <c:v>0.82741935483870899</c:v>
                </c:pt>
                <c:pt idx="1">
                  <c:v>0.78830645161290303</c:v>
                </c:pt>
                <c:pt idx="2">
                  <c:v>0.84435483870967698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2-4056-8FE8-7AE17FF2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780063"/>
        <c:axId val="464770943"/>
      </c:barChart>
      <c:catAx>
        <c:axId val="46478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70943"/>
        <c:crosses val="autoZero"/>
        <c:auto val="1"/>
        <c:lblAlgn val="ctr"/>
        <c:lblOffset val="100"/>
        <c:noMultiLvlLbl val="0"/>
      </c:catAx>
      <c:valAx>
        <c:axId val="4647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8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80, 7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'18.12.2025'!$A$23:$A$25</c:f>
              <c:strCache>
                <c:ptCount val="3"/>
                <c:pt idx="0">
                  <c:v>small_80_start7_rgb0.95_fft0.9</c:v>
                </c:pt>
                <c:pt idx="1">
                  <c:v>small_80_start7_rgb0.9_fft0.85</c:v>
                </c:pt>
                <c:pt idx="2">
                  <c:v>small_80_start7_rgb0.85_fft0.8</c:v>
                </c:pt>
              </c:strCache>
            </c:strRef>
          </c:cat>
          <c:val>
            <c:numRef>
              <c:f>'18.12.2025'!$G$23:$G$25</c:f>
              <c:numCache>
                <c:formatCode>General</c:formatCode>
                <c:ptCount val="3"/>
                <c:pt idx="0">
                  <c:v>0.87943548387096704</c:v>
                </c:pt>
                <c:pt idx="1">
                  <c:v>0.90564516129032202</c:v>
                </c:pt>
                <c:pt idx="2">
                  <c:v>0.85362903225806397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4-4E64-B1B8-E89FF2EE6E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'18.12.2025'!$A$23:$A$25</c:f>
              <c:strCache>
                <c:ptCount val="3"/>
                <c:pt idx="0">
                  <c:v>small_80_start7_rgb0.95_fft0.9</c:v>
                </c:pt>
                <c:pt idx="1">
                  <c:v>small_80_start7_rgb0.9_fft0.85</c:v>
                </c:pt>
                <c:pt idx="2">
                  <c:v>small_80_start7_rgb0.85_fft0.8</c:v>
                </c:pt>
              </c:strCache>
            </c:strRef>
          </c:cat>
          <c:val>
            <c:numRef>
              <c:f>'18.12.2025'!$H$23:$H$25</c:f>
              <c:numCache>
                <c:formatCode>General</c:formatCode>
                <c:ptCount val="3"/>
                <c:pt idx="0">
                  <c:v>0.71693548387096695</c:v>
                </c:pt>
                <c:pt idx="1">
                  <c:v>0.69395161290322505</c:v>
                </c:pt>
                <c:pt idx="2">
                  <c:v>0.72258064516128995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84-4E64-B1B8-E89FF2EE6E2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'18.12.2025'!$A$23:$A$25</c:f>
              <c:strCache>
                <c:ptCount val="3"/>
                <c:pt idx="0">
                  <c:v>small_80_start7_rgb0.95_fft0.9</c:v>
                </c:pt>
                <c:pt idx="1">
                  <c:v>small_80_start7_rgb0.9_fft0.85</c:v>
                </c:pt>
                <c:pt idx="2">
                  <c:v>small_80_start7_rgb0.85_fft0.8</c:v>
                </c:pt>
              </c:strCache>
            </c:strRef>
          </c:cat>
          <c:val>
            <c:numRef>
              <c:f>'18.12.2025'!$I$23:$I$25</c:f>
              <c:numCache>
                <c:formatCode>General</c:formatCode>
                <c:ptCount val="3"/>
                <c:pt idx="0">
                  <c:v>0.86532258064516099</c:v>
                </c:pt>
                <c:pt idx="1">
                  <c:v>0.87782258064516105</c:v>
                </c:pt>
                <c:pt idx="2">
                  <c:v>0.84798387096774197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84-4E64-B1B8-E89FF2EE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4776703"/>
        <c:axId val="464769023"/>
      </c:barChart>
      <c:catAx>
        <c:axId val="46477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69023"/>
        <c:crosses val="autoZero"/>
        <c:auto val="1"/>
        <c:lblAlgn val="ctr"/>
        <c:lblOffset val="100"/>
        <c:noMultiLvlLbl val="0"/>
      </c:catAx>
      <c:valAx>
        <c:axId val="46476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for large 80, 10 epoch cotraining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'18.12.2025'!$A$26:$A$28</c:f>
              <c:strCache>
                <c:ptCount val="3"/>
                <c:pt idx="0">
                  <c:v>small_80_start10_rgb0.95_fft0.9</c:v>
                </c:pt>
                <c:pt idx="1">
                  <c:v>small_80_start10_rgb0.9_fft0.85</c:v>
                </c:pt>
                <c:pt idx="2">
                  <c:v>small_80_start10_rgb0.85_fft0.8</c:v>
                </c:pt>
              </c:strCache>
            </c:strRef>
          </c:cat>
          <c:val>
            <c:numRef>
              <c:f>'18.12.2025'!$G$26:$G$28</c:f>
              <c:numCache>
                <c:formatCode>General</c:formatCode>
                <c:ptCount val="3"/>
                <c:pt idx="0">
                  <c:v>0.91088709677419299</c:v>
                </c:pt>
                <c:pt idx="1">
                  <c:v>0.86895161290322498</c:v>
                </c:pt>
                <c:pt idx="2">
                  <c:v>0.907258064516129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5-4A55-917D-ADB45928882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'18.12.2025'!$A$26:$A$28</c:f>
              <c:strCache>
                <c:ptCount val="3"/>
                <c:pt idx="0">
                  <c:v>small_80_start10_rgb0.95_fft0.9</c:v>
                </c:pt>
                <c:pt idx="1">
                  <c:v>small_80_start10_rgb0.9_fft0.85</c:v>
                </c:pt>
                <c:pt idx="2">
                  <c:v>small_80_start10_rgb0.85_fft0.8</c:v>
                </c:pt>
              </c:strCache>
            </c:strRef>
          </c:cat>
          <c:val>
            <c:numRef>
              <c:f>'18.12.2025'!$H$26:$H$28</c:f>
              <c:numCache>
                <c:formatCode>General</c:formatCode>
                <c:ptCount val="3"/>
                <c:pt idx="0">
                  <c:v>0.72903225806451599</c:v>
                </c:pt>
                <c:pt idx="1">
                  <c:v>0.72338709677419299</c:v>
                </c:pt>
                <c:pt idx="2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5-4A55-917D-ADB45928882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'18.12.2025'!$A$26:$A$28</c:f>
              <c:strCache>
                <c:ptCount val="3"/>
                <c:pt idx="0">
                  <c:v>small_80_start10_rgb0.95_fft0.9</c:v>
                </c:pt>
                <c:pt idx="1">
                  <c:v>small_80_start10_rgb0.9_fft0.85</c:v>
                </c:pt>
                <c:pt idx="2">
                  <c:v>small_80_start10_rgb0.85_fft0.8</c:v>
                </c:pt>
              </c:strCache>
            </c:strRef>
          </c:cat>
          <c:val>
            <c:numRef>
              <c:f>'18.12.2025'!$I$26:$I$28</c:f>
              <c:numCache>
                <c:formatCode>General</c:formatCode>
                <c:ptCount val="3"/>
                <c:pt idx="0">
                  <c:v>0.89233870967741902</c:v>
                </c:pt>
                <c:pt idx="1">
                  <c:v>0.87379032258064504</c:v>
                </c:pt>
                <c:pt idx="2">
                  <c:v>0.89596774193548301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5-4A55-917D-ADB459288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366255"/>
        <c:axId val="455371535"/>
      </c:barChart>
      <c:catAx>
        <c:axId val="45536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71535"/>
        <c:crosses val="autoZero"/>
        <c:auto val="1"/>
        <c:lblAlgn val="ctr"/>
        <c:lblOffset val="100"/>
        <c:noMultiLvlLbl val="0"/>
      </c:catAx>
      <c:valAx>
        <c:axId val="45537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6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for large 20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'18.12.2025'!$A$2:$A$10</c:f>
              <c:strCache>
                <c:ptCount val="9"/>
                <c:pt idx="0">
                  <c:v>large_20_start5_rgb0.95_fft0.9</c:v>
                </c:pt>
                <c:pt idx="1">
                  <c:v>large_20_start5_rgb0.9_fft0.85</c:v>
                </c:pt>
                <c:pt idx="2">
                  <c:v>large_20_start5_rgb0.85_fft0.8</c:v>
                </c:pt>
                <c:pt idx="3">
                  <c:v>large_20_start7_rgb0.95_fft0.9</c:v>
                </c:pt>
                <c:pt idx="4">
                  <c:v>large_20_start7_rgb0.9_fft0.85</c:v>
                </c:pt>
                <c:pt idx="5">
                  <c:v>large_20_start7_rgb0.85_fft0.8</c:v>
                </c:pt>
                <c:pt idx="6">
                  <c:v>large_20_start10_rgb0.95_fft0.9</c:v>
                </c:pt>
                <c:pt idx="7">
                  <c:v>large_20_start10_rgb0.9_fft0.85</c:v>
                </c:pt>
                <c:pt idx="8">
                  <c:v>large_20_start10_rgb0.85_fft0.8</c:v>
                </c:pt>
              </c:strCache>
            </c:strRef>
          </c:cat>
          <c:val>
            <c:numRef>
              <c:f>'18.12.2025'!$I$2:$I$10</c:f>
              <c:numCache>
                <c:formatCode>General</c:formatCode>
                <c:ptCount val="9"/>
                <c:pt idx="0">
                  <c:v>0.92459677419354802</c:v>
                </c:pt>
                <c:pt idx="1">
                  <c:v>0.94032258064516105</c:v>
                </c:pt>
                <c:pt idx="2">
                  <c:v>0.93064516129032204</c:v>
                </c:pt>
                <c:pt idx="3">
                  <c:v>0.93790322580645102</c:v>
                </c:pt>
                <c:pt idx="4">
                  <c:v>0.93225806451612903</c:v>
                </c:pt>
                <c:pt idx="5">
                  <c:v>0.93830645161290305</c:v>
                </c:pt>
                <c:pt idx="6">
                  <c:v>0.93991935483870903</c:v>
                </c:pt>
                <c:pt idx="7">
                  <c:v>0.93709677419354798</c:v>
                </c:pt>
                <c:pt idx="8">
                  <c:v>0.92056451612903201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5-436E-8CFA-1F71A7BF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354847"/>
        <c:axId val="398357247"/>
      </c:barChart>
      <c:catAx>
        <c:axId val="39835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7247"/>
        <c:crosses val="autoZero"/>
        <c:auto val="1"/>
        <c:lblAlgn val="ctr"/>
        <c:lblOffset val="100"/>
        <c:noMultiLvlLbl val="0"/>
      </c:catAx>
      <c:valAx>
        <c:axId val="39835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5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for organized 50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'18.12.2025'!$A$11:$A$19</c:f>
              <c:strCache>
                <c:ptCount val="9"/>
                <c:pt idx="0">
                  <c:v>organized_50_start5_rgb0.95_fft0.9</c:v>
                </c:pt>
                <c:pt idx="1">
                  <c:v>organized_50_start5_rgb0.9_fft0.85</c:v>
                </c:pt>
                <c:pt idx="2">
                  <c:v>organized_50_start5_rgb0.85_fft0.8</c:v>
                </c:pt>
                <c:pt idx="3">
                  <c:v>organized_50_start7_rgb0.95_fft0.9</c:v>
                </c:pt>
                <c:pt idx="4">
                  <c:v>organized_50_start7_rgb0.9_fft0.85</c:v>
                </c:pt>
                <c:pt idx="5">
                  <c:v>organized_50_start7_rgb0.85_fft0.8</c:v>
                </c:pt>
                <c:pt idx="6">
                  <c:v>organized_50_start10_rgb0.95_fft0.9</c:v>
                </c:pt>
                <c:pt idx="7">
                  <c:v>organized_50_start10_rgb0.9_fft0.85</c:v>
                </c:pt>
                <c:pt idx="8">
                  <c:v>organized_50_start10_rgb0.85_fft0.8</c:v>
                </c:pt>
              </c:strCache>
            </c:strRef>
          </c:cat>
          <c:val>
            <c:numRef>
              <c:f>'18.12.2025'!$I$11:$I$19</c:f>
              <c:numCache>
                <c:formatCode>General</c:formatCode>
                <c:ptCount val="9"/>
                <c:pt idx="0">
                  <c:v>0.90967741935483803</c:v>
                </c:pt>
                <c:pt idx="1">
                  <c:v>0.91774193548387095</c:v>
                </c:pt>
                <c:pt idx="2">
                  <c:v>0.87822580645161197</c:v>
                </c:pt>
                <c:pt idx="3">
                  <c:v>0.91370967741935405</c:v>
                </c:pt>
                <c:pt idx="4">
                  <c:v>0.912903225806451</c:v>
                </c:pt>
                <c:pt idx="5">
                  <c:v>0.92338709677419295</c:v>
                </c:pt>
                <c:pt idx="6">
                  <c:v>0.89274193548387004</c:v>
                </c:pt>
                <c:pt idx="7">
                  <c:v>0.91774193548387095</c:v>
                </c:pt>
                <c:pt idx="8">
                  <c:v>0.91209677419354795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1-4B62-B7AD-50F5A2E8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6484335"/>
        <c:axId val="396474735"/>
      </c:barChart>
      <c:catAx>
        <c:axId val="3964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74735"/>
        <c:crosses val="autoZero"/>
        <c:auto val="1"/>
        <c:lblAlgn val="ctr"/>
        <c:lblOffset val="100"/>
        <c:noMultiLvlLbl val="0"/>
      </c:catAx>
      <c:valAx>
        <c:axId val="3964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for small 80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'18.12.2025'!$A$20:$A$28</c:f>
              <c:strCache>
                <c:ptCount val="9"/>
                <c:pt idx="0">
                  <c:v>small_80_start5_rgb0.95_fft0.9</c:v>
                </c:pt>
                <c:pt idx="1">
                  <c:v>small_80_start5_rgb0.9_fft0.85</c:v>
                </c:pt>
                <c:pt idx="2">
                  <c:v>small_80_start5_rgb0.85_fft0.8</c:v>
                </c:pt>
                <c:pt idx="3">
                  <c:v>small_80_start7_rgb0.95_fft0.9</c:v>
                </c:pt>
                <c:pt idx="4">
                  <c:v>small_80_start7_rgb0.9_fft0.85</c:v>
                </c:pt>
                <c:pt idx="5">
                  <c:v>small_80_start7_rgb0.85_fft0.8</c:v>
                </c:pt>
                <c:pt idx="6">
                  <c:v>small_80_start10_rgb0.95_fft0.9</c:v>
                </c:pt>
                <c:pt idx="7">
                  <c:v>small_80_start10_rgb0.9_fft0.85</c:v>
                </c:pt>
                <c:pt idx="8">
                  <c:v>small_80_start10_rgb0.85_fft0.8</c:v>
                </c:pt>
              </c:strCache>
            </c:strRef>
          </c:cat>
          <c:val>
            <c:numRef>
              <c:f>'18.12.2025'!$I$20:$I$28</c:f>
              <c:numCache>
                <c:formatCode>General</c:formatCode>
                <c:ptCount val="9"/>
                <c:pt idx="0">
                  <c:v>0.82741935483870899</c:v>
                </c:pt>
                <c:pt idx="1">
                  <c:v>0.78830645161290303</c:v>
                </c:pt>
                <c:pt idx="2">
                  <c:v>0.84435483870967698</c:v>
                </c:pt>
                <c:pt idx="3">
                  <c:v>0.86532258064516099</c:v>
                </c:pt>
                <c:pt idx="4">
                  <c:v>0.87782258064516105</c:v>
                </c:pt>
                <c:pt idx="5">
                  <c:v>0.84798387096774197</c:v>
                </c:pt>
                <c:pt idx="6">
                  <c:v>0.89233870967741902</c:v>
                </c:pt>
                <c:pt idx="7">
                  <c:v>0.87379032258064504</c:v>
                </c:pt>
                <c:pt idx="8">
                  <c:v>0.89596774193548301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4-4624-B849-61D26A114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369151"/>
        <c:axId val="144365791"/>
      </c:barChart>
      <c:catAx>
        <c:axId val="144369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5791"/>
        <c:crosses val="autoZero"/>
        <c:auto val="1"/>
        <c:lblAlgn val="ctr"/>
        <c:lblOffset val="100"/>
        <c:noMultiLvlLbl val="0"/>
      </c:catAx>
      <c:valAx>
        <c:axId val="14436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19270</xdr:colOff>
      <xdr:row>1</xdr:row>
      <xdr:rowOff>5221</xdr:rowOff>
    </xdr:from>
    <xdr:to>
      <xdr:col>31</xdr:col>
      <xdr:colOff>509476</xdr:colOff>
      <xdr:row>3</xdr:row>
      <xdr:rowOff>1329070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896E1-4231-1D8F-2918-D7A18EE63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588921</xdr:colOff>
      <xdr:row>4</xdr:row>
      <xdr:rowOff>12700</xdr:rowOff>
    </xdr:from>
    <xdr:to>
      <xdr:col>31</xdr:col>
      <xdr:colOff>561015</xdr:colOff>
      <xdr:row>6</xdr:row>
      <xdr:rowOff>1246147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779D4-B69D-E991-CB46-EFB500E70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589114</xdr:colOff>
      <xdr:row>7</xdr:row>
      <xdr:rowOff>318499</xdr:rowOff>
    </xdr:from>
    <xdr:to>
      <xdr:col>31</xdr:col>
      <xdr:colOff>573803</xdr:colOff>
      <xdr:row>9</xdr:row>
      <xdr:rowOff>1179205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177C0-991C-42F3-0ECF-C06187B6F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4771</xdr:colOff>
      <xdr:row>10</xdr:row>
      <xdr:rowOff>18273</xdr:rowOff>
    </xdr:from>
    <xdr:to>
      <xdr:col>31</xdr:col>
      <xdr:colOff>598081</xdr:colOff>
      <xdr:row>12</xdr:row>
      <xdr:rowOff>1270000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379A78-7E68-6BB7-789D-7E9711B02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107860</xdr:colOff>
      <xdr:row>12</xdr:row>
      <xdr:rowOff>1367092</xdr:rowOff>
    </xdr:from>
    <xdr:to>
      <xdr:col>32</xdr:col>
      <xdr:colOff>96765</xdr:colOff>
      <xdr:row>15</xdr:row>
      <xdr:rowOff>1249948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0CA672-DA5C-0425-A9FA-D1DAF1BCF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26312</xdr:colOff>
      <xdr:row>16</xdr:row>
      <xdr:rowOff>14224</xdr:rowOff>
    </xdr:from>
    <xdr:to>
      <xdr:col>32</xdr:col>
      <xdr:colOff>44167</xdr:colOff>
      <xdr:row>18</xdr:row>
      <xdr:rowOff>1332906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8EA1DD-FC60-90D2-02BB-1E28FD225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609175</xdr:colOff>
      <xdr:row>19</xdr:row>
      <xdr:rowOff>8467</xdr:rowOff>
    </xdr:from>
    <xdr:to>
      <xdr:col>32</xdr:col>
      <xdr:colOff>44303</xdr:colOff>
      <xdr:row>21</xdr:row>
      <xdr:rowOff>1314301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D5A19B-1712-6DA2-031F-65F4DE74E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610767</xdr:colOff>
      <xdr:row>22</xdr:row>
      <xdr:rowOff>244</xdr:rowOff>
    </xdr:from>
    <xdr:to>
      <xdr:col>32</xdr:col>
      <xdr:colOff>0</xdr:colOff>
      <xdr:row>24</xdr:row>
      <xdr:rowOff>1476743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85DEF4-2A1C-2507-CBBF-289AD8CA2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29992</xdr:colOff>
      <xdr:row>24</xdr:row>
      <xdr:rowOff>1540197</xdr:rowOff>
    </xdr:from>
    <xdr:to>
      <xdr:col>31</xdr:col>
      <xdr:colOff>598081</xdr:colOff>
      <xdr:row>27</xdr:row>
      <xdr:rowOff>1365988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718ABE-46A0-50AB-AE93-E80C463C2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492448</xdr:colOff>
      <xdr:row>29</xdr:row>
      <xdr:rowOff>43198</xdr:rowOff>
    </xdr:from>
    <xdr:to>
      <xdr:col>4</xdr:col>
      <xdr:colOff>209073</xdr:colOff>
      <xdr:row>44</xdr:row>
      <xdr:rowOff>64969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5822D6-F4EB-4472-936F-26B9875A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501087</xdr:colOff>
      <xdr:row>29</xdr:row>
      <xdr:rowOff>51838</xdr:rowOff>
    </xdr:from>
    <xdr:to>
      <xdr:col>10</xdr:col>
      <xdr:colOff>36286</xdr:colOff>
      <xdr:row>44</xdr:row>
      <xdr:rowOff>73609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5BBF6D-5C89-4209-B7F1-10D7D5F36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556381</xdr:colOff>
      <xdr:row>29</xdr:row>
      <xdr:rowOff>92787</xdr:rowOff>
    </xdr:from>
    <xdr:to>
      <xdr:col>13</xdr:col>
      <xdr:colOff>566747</xdr:colOff>
      <xdr:row>44</xdr:row>
      <xdr:rowOff>114558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D317277-B7B1-AF35-FE73-9B71A1BE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8423-C239-462A-B249-467B6700910B}">
  <dimension ref="A1:T49"/>
  <sheetViews>
    <sheetView zoomScale="70" zoomScaleNormal="70" workbookViewId="0">
      <pane ySplit="1" topLeftCell="A2" activePane="bottomLeft" state="frozen"/>
      <selection pane="bottomLeft" activeCell="F9" sqref="F9"/>
    </sheetView>
  </sheetViews>
  <sheetFormatPr defaultRowHeight="14.6" x14ac:dyDescent="0.4"/>
  <cols>
    <col min="1" max="1" width="30.3828125" bestFit="1" customWidth="1"/>
    <col min="2" max="2" width="11.4609375" bestFit="1" customWidth="1"/>
    <col min="3" max="3" width="12.61328125" bestFit="1" customWidth="1"/>
    <col min="4" max="4" width="14.15234375" bestFit="1" customWidth="1"/>
    <col min="5" max="5" width="8.23046875" bestFit="1" customWidth="1"/>
    <col min="6" max="6" width="7.3828125" bestFit="1" customWidth="1"/>
    <col min="7" max="9" width="18.53515625" bestFit="1" customWidth="1"/>
    <col min="10" max="10" width="18.53515625" customWidth="1"/>
    <col min="11" max="11" width="24.3046875" customWidth="1"/>
    <col min="12" max="12" width="23.921875" customWidth="1"/>
    <col min="13" max="13" width="29.15234375" customWidth="1"/>
    <col min="14" max="14" width="11.15234375" bestFit="1" customWidth="1"/>
    <col min="15" max="15" width="12.07421875" bestFit="1" customWidth="1"/>
    <col min="16" max="16" width="11.4609375" bestFit="1" customWidth="1"/>
    <col min="17" max="17" width="14.15234375" bestFit="1" customWidth="1"/>
    <col min="18" max="18" width="18.4609375" bestFit="1" customWidth="1"/>
    <col min="19" max="20" width="17.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7" t="s">
        <v>7</v>
      </c>
      <c r="I1" s="8" t="s">
        <v>8</v>
      </c>
      <c r="J1" s="9" t="s">
        <v>151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16.6" x14ac:dyDescent="0.4">
      <c r="A2" s="2" t="s">
        <v>19</v>
      </c>
      <c r="B2" s="2" t="s">
        <v>20</v>
      </c>
      <c r="C2" s="3">
        <v>20</v>
      </c>
      <c r="D2" s="3">
        <v>5</v>
      </c>
      <c r="E2" s="3">
        <v>0.95</v>
      </c>
      <c r="F2" s="3">
        <v>0.9</v>
      </c>
      <c r="G2" s="3">
        <v>0.92379032258064497</v>
      </c>
      <c r="H2" s="3">
        <v>0.804838709677419</v>
      </c>
      <c r="I2" s="3">
        <v>0.92459677419354802</v>
      </c>
      <c r="J2" s="12">
        <f>AVERAGE(I2:I10)</f>
        <v>0.93351254480286705</v>
      </c>
      <c r="K2" s="4" t="s">
        <v>21</v>
      </c>
      <c r="L2" s="4" t="s">
        <v>22</v>
      </c>
      <c r="M2" s="4" t="s">
        <v>23</v>
      </c>
      <c r="N2" s="3">
        <v>6</v>
      </c>
      <c r="O2" s="3">
        <v>7496</v>
      </c>
      <c r="P2" s="3">
        <v>7855</v>
      </c>
      <c r="Q2" s="3">
        <v>1973</v>
      </c>
      <c r="R2" s="3">
        <v>752</v>
      </c>
      <c r="S2" s="3">
        <v>1111</v>
      </c>
      <c r="T2" s="5" t="s">
        <v>24</v>
      </c>
    </row>
    <row r="3" spans="1:20" ht="116.6" x14ac:dyDescent="0.4">
      <c r="A3" s="2" t="s">
        <v>25</v>
      </c>
      <c r="B3" s="2" t="s">
        <v>20</v>
      </c>
      <c r="C3" s="3">
        <v>20</v>
      </c>
      <c r="D3" s="3">
        <v>5</v>
      </c>
      <c r="E3" s="3">
        <v>0.9</v>
      </c>
      <c r="F3" s="3">
        <v>0.85</v>
      </c>
      <c r="G3" s="3">
        <v>0.94233870967741895</v>
      </c>
      <c r="H3" s="3">
        <v>0.77500000000000002</v>
      </c>
      <c r="I3" s="3">
        <v>0.94032258064516105</v>
      </c>
      <c r="J3" s="12"/>
      <c r="K3" s="4" t="s">
        <v>26</v>
      </c>
      <c r="L3" s="4" t="s">
        <v>27</v>
      </c>
      <c r="M3" s="4" t="s">
        <v>28</v>
      </c>
      <c r="N3" s="3">
        <v>6</v>
      </c>
      <c r="O3" s="3">
        <v>7513</v>
      </c>
      <c r="P3" s="3">
        <v>7820</v>
      </c>
      <c r="Q3" s="3">
        <v>1979</v>
      </c>
      <c r="R3" s="3">
        <v>769</v>
      </c>
      <c r="S3" s="3">
        <v>1076</v>
      </c>
      <c r="T3" s="5" t="s">
        <v>29</v>
      </c>
    </row>
    <row r="4" spans="1:20" ht="116.6" x14ac:dyDescent="0.4">
      <c r="A4" s="2" t="s">
        <v>30</v>
      </c>
      <c r="B4" s="2" t="s">
        <v>20</v>
      </c>
      <c r="C4" s="3">
        <v>20</v>
      </c>
      <c r="D4" s="3">
        <v>5</v>
      </c>
      <c r="E4" s="3">
        <v>0.85</v>
      </c>
      <c r="F4" s="3">
        <v>0.8</v>
      </c>
      <c r="G4" s="3">
        <v>0.93346774193548299</v>
      </c>
      <c r="H4" s="3">
        <v>0.79435483870967705</v>
      </c>
      <c r="I4" s="3">
        <v>0.93064516129032204</v>
      </c>
      <c r="J4" s="12"/>
      <c r="K4" s="4" t="s">
        <v>31</v>
      </c>
      <c r="L4" s="4" t="s">
        <v>32</v>
      </c>
      <c r="M4" s="4" t="s">
        <v>33</v>
      </c>
      <c r="N4" s="3">
        <v>6</v>
      </c>
      <c r="O4" s="3">
        <v>7680</v>
      </c>
      <c r="P4" s="3">
        <v>7802</v>
      </c>
      <c r="Q4" s="3">
        <v>1980</v>
      </c>
      <c r="R4" s="3">
        <v>936</v>
      </c>
      <c r="S4" s="3">
        <v>1058</v>
      </c>
      <c r="T4" s="5" t="s">
        <v>34</v>
      </c>
    </row>
    <row r="5" spans="1:20" ht="116.6" x14ac:dyDescent="0.4">
      <c r="A5" s="2" t="s">
        <v>35</v>
      </c>
      <c r="B5" s="2" t="s">
        <v>20</v>
      </c>
      <c r="C5" s="3">
        <v>20</v>
      </c>
      <c r="D5" s="3">
        <v>7</v>
      </c>
      <c r="E5" s="3">
        <v>0.95</v>
      </c>
      <c r="F5" s="3">
        <v>0.9</v>
      </c>
      <c r="G5" s="3">
        <v>0.93669354838709595</v>
      </c>
      <c r="H5" s="3">
        <v>0.79112903225806397</v>
      </c>
      <c r="I5" s="3">
        <v>0.93790322580645102</v>
      </c>
      <c r="J5" s="12"/>
      <c r="K5" s="4" t="s">
        <v>36</v>
      </c>
      <c r="L5" s="4" t="s">
        <v>37</v>
      </c>
      <c r="M5" s="4" t="s">
        <v>38</v>
      </c>
      <c r="N5" s="3">
        <v>6</v>
      </c>
      <c r="O5" s="3">
        <v>7529</v>
      </c>
      <c r="P5" s="3">
        <v>7810</v>
      </c>
      <c r="Q5" s="3">
        <v>1973</v>
      </c>
      <c r="R5" s="3">
        <v>785</v>
      </c>
      <c r="S5" s="3">
        <v>1066</v>
      </c>
      <c r="T5" s="5" t="s">
        <v>39</v>
      </c>
    </row>
    <row r="6" spans="1:20" ht="116.6" x14ac:dyDescent="0.4">
      <c r="A6" s="2" t="s">
        <v>40</v>
      </c>
      <c r="B6" s="2" t="s">
        <v>20</v>
      </c>
      <c r="C6" s="3">
        <v>20</v>
      </c>
      <c r="D6" s="3">
        <v>7</v>
      </c>
      <c r="E6" s="3">
        <v>0.9</v>
      </c>
      <c r="F6" s="3">
        <v>0.85</v>
      </c>
      <c r="G6" s="3">
        <v>0.92903225806451595</v>
      </c>
      <c r="H6" s="3">
        <v>0.78911290322580596</v>
      </c>
      <c r="I6" s="3">
        <v>0.93225806451612903</v>
      </c>
      <c r="J6" s="12"/>
      <c r="K6" s="4" t="s">
        <v>41</v>
      </c>
      <c r="L6" s="4" t="s">
        <v>42</v>
      </c>
      <c r="M6" s="4" t="s">
        <v>43</v>
      </c>
      <c r="N6" s="3">
        <v>6</v>
      </c>
      <c r="O6" s="3">
        <v>7698</v>
      </c>
      <c r="P6" s="3">
        <v>7730</v>
      </c>
      <c r="Q6" s="3">
        <v>1980</v>
      </c>
      <c r="R6" s="3">
        <v>954</v>
      </c>
      <c r="S6" s="3">
        <v>986</v>
      </c>
      <c r="T6" s="5" t="s">
        <v>44</v>
      </c>
    </row>
    <row r="7" spans="1:20" ht="116.6" x14ac:dyDescent="0.4">
      <c r="A7" s="2" t="s">
        <v>45</v>
      </c>
      <c r="B7" s="2" t="s">
        <v>20</v>
      </c>
      <c r="C7" s="3">
        <v>20</v>
      </c>
      <c r="D7" s="3">
        <v>7</v>
      </c>
      <c r="E7" s="3">
        <v>0.85</v>
      </c>
      <c r="F7" s="3">
        <v>0.8</v>
      </c>
      <c r="G7" s="3">
        <v>0.93991935483870903</v>
      </c>
      <c r="H7" s="3">
        <v>0.801209677419354</v>
      </c>
      <c r="I7" s="3">
        <v>0.93830645161290305</v>
      </c>
      <c r="J7" s="12"/>
      <c r="K7" s="4" t="s">
        <v>46</v>
      </c>
      <c r="L7" s="4" t="s">
        <v>47</v>
      </c>
      <c r="M7" s="4" t="s">
        <v>48</v>
      </c>
      <c r="N7" s="3">
        <v>6</v>
      </c>
      <c r="O7" s="3">
        <v>7734</v>
      </c>
      <c r="P7" s="3">
        <v>7836</v>
      </c>
      <c r="Q7" s="3">
        <v>1982</v>
      </c>
      <c r="R7" s="3">
        <v>990</v>
      </c>
      <c r="S7" s="3">
        <v>1092</v>
      </c>
      <c r="T7" s="5" t="s">
        <v>49</v>
      </c>
    </row>
    <row r="8" spans="1:20" ht="116.6" x14ac:dyDescent="0.4">
      <c r="A8" s="2" t="s">
        <v>50</v>
      </c>
      <c r="B8" s="2" t="s">
        <v>20</v>
      </c>
      <c r="C8" s="3">
        <v>20</v>
      </c>
      <c r="D8" s="3">
        <v>10</v>
      </c>
      <c r="E8" s="3">
        <v>0.95</v>
      </c>
      <c r="F8" s="3">
        <v>0.9</v>
      </c>
      <c r="G8" s="3">
        <v>0.93991935483870903</v>
      </c>
      <c r="H8" s="3">
        <v>0.80241935483870896</v>
      </c>
      <c r="I8" s="3">
        <v>0.93991935483870903</v>
      </c>
      <c r="J8" s="12"/>
      <c r="K8" s="4" t="s">
        <v>51</v>
      </c>
      <c r="L8" s="4" t="s">
        <v>52</v>
      </c>
      <c r="M8" s="4" t="s">
        <v>53</v>
      </c>
      <c r="N8" s="3">
        <v>6</v>
      </c>
      <c r="O8" s="3">
        <v>7660</v>
      </c>
      <c r="P8" s="3">
        <v>7871</v>
      </c>
      <c r="Q8" s="3">
        <v>1955</v>
      </c>
      <c r="R8" s="3">
        <v>916</v>
      </c>
      <c r="S8" s="3">
        <v>1127</v>
      </c>
      <c r="T8" s="5" t="s">
        <v>54</v>
      </c>
    </row>
    <row r="9" spans="1:20" ht="116.6" x14ac:dyDescent="0.4">
      <c r="A9" s="2" t="s">
        <v>55</v>
      </c>
      <c r="B9" s="2" t="s">
        <v>20</v>
      </c>
      <c r="C9" s="3">
        <v>20</v>
      </c>
      <c r="D9" s="3">
        <v>10</v>
      </c>
      <c r="E9" s="3">
        <v>0.9</v>
      </c>
      <c r="F9" s="3">
        <v>0.85</v>
      </c>
      <c r="G9" s="3">
        <v>0.93669354838709595</v>
      </c>
      <c r="H9" s="3">
        <v>0.78991935483870901</v>
      </c>
      <c r="I9" s="3">
        <v>0.93709677419354798</v>
      </c>
      <c r="J9" s="12"/>
      <c r="K9" s="4" t="s">
        <v>56</v>
      </c>
      <c r="L9" s="4" t="s">
        <v>57</v>
      </c>
      <c r="M9" s="4" t="s">
        <v>58</v>
      </c>
      <c r="N9" s="3">
        <v>6</v>
      </c>
      <c r="O9" s="3">
        <v>7745</v>
      </c>
      <c r="P9" s="3">
        <v>7892</v>
      </c>
      <c r="Q9" s="3">
        <v>1962</v>
      </c>
      <c r="R9" s="3">
        <v>1001</v>
      </c>
      <c r="S9" s="3">
        <v>1148</v>
      </c>
      <c r="T9" s="5" t="s">
        <v>59</v>
      </c>
    </row>
    <row r="10" spans="1:20" ht="116.6" x14ac:dyDescent="0.4">
      <c r="A10" s="2" t="s">
        <v>60</v>
      </c>
      <c r="B10" s="2" t="s">
        <v>20</v>
      </c>
      <c r="C10" s="3">
        <v>20</v>
      </c>
      <c r="D10" s="3">
        <v>10</v>
      </c>
      <c r="E10" s="3">
        <v>0.85</v>
      </c>
      <c r="F10" s="3">
        <v>0.8</v>
      </c>
      <c r="G10" s="3">
        <v>0.92540322580645096</v>
      </c>
      <c r="H10" s="3">
        <v>0.79838709677419295</v>
      </c>
      <c r="I10" s="3">
        <v>0.92056451612903201</v>
      </c>
      <c r="J10" s="12"/>
      <c r="K10" s="4" t="s">
        <v>61</v>
      </c>
      <c r="L10" s="4" t="s">
        <v>62</v>
      </c>
      <c r="M10" s="4" t="s">
        <v>63</v>
      </c>
      <c r="N10" s="3">
        <v>6</v>
      </c>
      <c r="O10" s="3">
        <v>7745</v>
      </c>
      <c r="P10" s="3">
        <v>7944</v>
      </c>
      <c r="Q10" s="3">
        <v>1964</v>
      </c>
      <c r="R10" s="3">
        <v>1001</v>
      </c>
      <c r="S10" s="3">
        <v>1200</v>
      </c>
      <c r="T10" s="5" t="s">
        <v>64</v>
      </c>
    </row>
    <row r="11" spans="1:20" ht="116.6" x14ac:dyDescent="0.4">
      <c r="A11" s="2" t="s">
        <v>65</v>
      </c>
      <c r="B11" s="2" t="s">
        <v>66</v>
      </c>
      <c r="C11" s="3">
        <v>50</v>
      </c>
      <c r="D11" s="3">
        <v>5</v>
      </c>
      <c r="E11" s="3">
        <v>0.95</v>
      </c>
      <c r="F11" s="3">
        <v>0.9</v>
      </c>
      <c r="G11" s="3">
        <v>0.91814516129032198</v>
      </c>
      <c r="H11" s="3">
        <v>0.78387096774193499</v>
      </c>
      <c r="I11" s="3">
        <v>0.90967741935483803</v>
      </c>
      <c r="J11" s="13">
        <f>AVERAGE(I11:I19)</f>
        <v>0.90869175627240095</v>
      </c>
      <c r="K11" s="4" t="s">
        <v>67</v>
      </c>
      <c r="L11" s="4" t="s">
        <v>68</v>
      </c>
      <c r="M11" s="4" t="s">
        <v>69</v>
      </c>
      <c r="N11" s="3">
        <v>6</v>
      </c>
      <c r="O11" s="3">
        <v>6169</v>
      </c>
      <c r="P11" s="3">
        <v>6805</v>
      </c>
      <c r="Q11" s="3">
        <v>4650</v>
      </c>
      <c r="R11" s="3">
        <v>1954</v>
      </c>
      <c r="S11" s="3">
        <v>2590</v>
      </c>
      <c r="T11" s="5" t="s">
        <v>70</v>
      </c>
    </row>
    <row r="12" spans="1:20" ht="116.6" x14ac:dyDescent="0.4">
      <c r="A12" s="2" t="s">
        <v>71</v>
      </c>
      <c r="B12" s="2" t="s">
        <v>66</v>
      </c>
      <c r="C12" s="3">
        <v>50</v>
      </c>
      <c r="D12" s="3">
        <v>5</v>
      </c>
      <c r="E12" s="3">
        <v>0.9</v>
      </c>
      <c r="F12" s="3">
        <v>0.85</v>
      </c>
      <c r="G12" s="3">
        <v>0.92862903225806404</v>
      </c>
      <c r="H12" s="3">
        <v>0.79032258064516103</v>
      </c>
      <c r="I12" s="3">
        <v>0.91774193548387095</v>
      </c>
      <c r="J12" s="13"/>
      <c r="K12" s="4" t="s">
        <v>72</v>
      </c>
      <c r="L12" s="4" t="s">
        <v>73</v>
      </c>
      <c r="M12" s="4" t="s">
        <v>74</v>
      </c>
      <c r="N12" s="3">
        <v>6</v>
      </c>
      <c r="O12" s="3">
        <v>6261</v>
      </c>
      <c r="P12" s="3">
        <v>6787</v>
      </c>
      <c r="Q12" s="3">
        <v>4677</v>
      </c>
      <c r="R12" s="3">
        <v>2046</v>
      </c>
      <c r="S12" s="3">
        <v>2572</v>
      </c>
      <c r="T12" s="5" t="s">
        <v>75</v>
      </c>
    </row>
    <row r="13" spans="1:20" ht="116.6" x14ac:dyDescent="0.4">
      <c r="A13" s="2" t="s">
        <v>76</v>
      </c>
      <c r="B13" s="2" t="s">
        <v>66</v>
      </c>
      <c r="C13" s="3">
        <v>50</v>
      </c>
      <c r="D13" s="3">
        <v>5</v>
      </c>
      <c r="E13" s="3">
        <v>0.85</v>
      </c>
      <c r="F13" s="3">
        <v>0.8</v>
      </c>
      <c r="G13" s="3">
        <v>0.91572580645161294</v>
      </c>
      <c r="H13" s="3">
        <v>0.76169354838709602</v>
      </c>
      <c r="I13" s="3">
        <v>0.87822580645161197</v>
      </c>
      <c r="J13" s="13"/>
      <c r="K13" s="4" t="s">
        <v>72</v>
      </c>
      <c r="L13" s="4" t="s">
        <v>77</v>
      </c>
      <c r="M13" s="4" t="s">
        <v>78</v>
      </c>
      <c r="N13" s="3">
        <v>6</v>
      </c>
      <c r="O13" s="3">
        <v>6536</v>
      </c>
      <c r="P13" s="3">
        <v>6704</v>
      </c>
      <c r="Q13" s="3">
        <v>4778</v>
      </c>
      <c r="R13" s="3">
        <v>2321</v>
      </c>
      <c r="S13" s="3">
        <v>2489</v>
      </c>
      <c r="T13" s="5" t="s">
        <v>79</v>
      </c>
    </row>
    <row r="14" spans="1:20" ht="116.6" x14ac:dyDescent="0.4">
      <c r="A14" s="2" t="s">
        <v>80</v>
      </c>
      <c r="B14" s="2" t="s">
        <v>66</v>
      </c>
      <c r="C14" s="3">
        <v>50</v>
      </c>
      <c r="D14" s="3">
        <v>7</v>
      </c>
      <c r="E14" s="3">
        <v>0.95</v>
      </c>
      <c r="F14" s="3">
        <v>0.9</v>
      </c>
      <c r="G14" s="3">
        <v>0.92298387096774104</v>
      </c>
      <c r="H14" s="3">
        <v>0.780241935483871</v>
      </c>
      <c r="I14" s="3">
        <v>0.91370967741935405</v>
      </c>
      <c r="J14" s="13"/>
      <c r="K14" s="4" t="s">
        <v>72</v>
      </c>
      <c r="L14" s="4" t="s">
        <v>81</v>
      </c>
      <c r="M14" s="4" t="s">
        <v>82</v>
      </c>
      <c r="N14" s="3">
        <v>6</v>
      </c>
      <c r="O14" s="3">
        <v>6401</v>
      </c>
      <c r="P14" s="3">
        <v>6556</v>
      </c>
      <c r="Q14" s="3">
        <v>4356</v>
      </c>
      <c r="R14" s="3">
        <v>2186</v>
      </c>
      <c r="S14" s="3">
        <v>2341</v>
      </c>
      <c r="T14" s="5" t="s">
        <v>83</v>
      </c>
    </row>
    <row r="15" spans="1:20" ht="116.6" x14ac:dyDescent="0.4">
      <c r="A15" s="2" t="s">
        <v>84</v>
      </c>
      <c r="B15" s="2" t="s">
        <v>66</v>
      </c>
      <c r="C15" s="3">
        <v>50</v>
      </c>
      <c r="D15" s="3">
        <v>7</v>
      </c>
      <c r="E15" s="3">
        <v>0.9</v>
      </c>
      <c r="F15" s="3">
        <v>0.85</v>
      </c>
      <c r="G15" s="3">
        <v>0.92741935483870896</v>
      </c>
      <c r="H15" s="3">
        <v>0.76975806451612905</v>
      </c>
      <c r="I15" s="3">
        <v>0.912903225806451</v>
      </c>
      <c r="J15" s="13"/>
      <c r="K15" s="4" t="s">
        <v>72</v>
      </c>
      <c r="L15" s="4" t="s">
        <v>85</v>
      </c>
      <c r="M15" s="4" t="s">
        <v>86</v>
      </c>
      <c r="N15" s="3">
        <v>6</v>
      </c>
      <c r="O15" s="3">
        <v>6363</v>
      </c>
      <c r="P15" s="3">
        <v>6573</v>
      </c>
      <c r="Q15" s="3">
        <v>4365</v>
      </c>
      <c r="R15" s="3">
        <v>2148</v>
      </c>
      <c r="S15" s="3">
        <v>2358</v>
      </c>
      <c r="T15" s="5" t="s">
        <v>87</v>
      </c>
    </row>
    <row r="16" spans="1:20" ht="116.6" x14ac:dyDescent="0.4">
      <c r="A16" s="2" t="s">
        <v>88</v>
      </c>
      <c r="B16" s="2" t="s">
        <v>66</v>
      </c>
      <c r="C16" s="3">
        <v>50</v>
      </c>
      <c r="D16" s="3">
        <v>7</v>
      </c>
      <c r="E16" s="3">
        <v>0.85</v>
      </c>
      <c r="F16" s="3">
        <v>0.8</v>
      </c>
      <c r="G16" s="3">
        <v>0.931854838709677</v>
      </c>
      <c r="H16" s="3">
        <v>0.76854838709677398</v>
      </c>
      <c r="I16" s="3">
        <v>0.92338709677419295</v>
      </c>
      <c r="J16" s="13"/>
      <c r="K16" s="4" t="s">
        <v>72</v>
      </c>
      <c r="L16" s="4" t="s">
        <v>89</v>
      </c>
      <c r="M16" s="4" t="s">
        <v>90</v>
      </c>
      <c r="N16" s="3">
        <v>6</v>
      </c>
      <c r="O16" s="3">
        <v>6387</v>
      </c>
      <c r="P16" s="3">
        <v>6591</v>
      </c>
      <c r="Q16" s="3">
        <v>4280</v>
      </c>
      <c r="R16" s="3">
        <v>2172</v>
      </c>
      <c r="S16" s="3">
        <v>2376</v>
      </c>
      <c r="T16" s="5" t="s">
        <v>91</v>
      </c>
    </row>
    <row r="17" spans="1:20" ht="116.6" x14ac:dyDescent="0.4">
      <c r="A17" s="2" t="s">
        <v>92</v>
      </c>
      <c r="B17" s="2" t="s">
        <v>66</v>
      </c>
      <c r="C17" s="3">
        <v>50</v>
      </c>
      <c r="D17" s="3">
        <v>10</v>
      </c>
      <c r="E17" s="3">
        <v>0.95</v>
      </c>
      <c r="F17" s="3">
        <v>0.9</v>
      </c>
      <c r="G17" s="3">
        <v>0.90564516129032202</v>
      </c>
      <c r="H17" s="3">
        <v>0.78870967741935405</v>
      </c>
      <c r="I17" s="3">
        <v>0.89274193548387004</v>
      </c>
      <c r="J17" s="13"/>
      <c r="K17" s="4" t="s">
        <v>72</v>
      </c>
      <c r="L17" s="4" t="s">
        <v>93</v>
      </c>
      <c r="M17" s="4" t="s">
        <v>94</v>
      </c>
      <c r="N17" s="3">
        <v>6</v>
      </c>
      <c r="O17" s="3">
        <v>6133</v>
      </c>
      <c r="P17" s="3">
        <v>6049</v>
      </c>
      <c r="Q17" s="3">
        <v>3526</v>
      </c>
      <c r="R17" s="3">
        <v>1918</v>
      </c>
      <c r="S17" s="3">
        <v>1834</v>
      </c>
      <c r="T17" s="5" t="s">
        <v>95</v>
      </c>
    </row>
    <row r="18" spans="1:20" ht="116.6" x14ac:dyDescent="0.4">
      <c r="A18" s="2" t="s">
        <v>96</v>
      </c>
      <c r="B18" s="2" t="s">
        <v>66</v>
      </c>
      <c r="C18" s="3">
        <v>50</v>
      </c>
      <c r="D18" s="3">
        <v>10</v>
      </c>
      <c r="E18" s="3">
        <v>0.9</v>
      </c>
      <c r="F18" s="3">
        <v>0.85</v>
      </c>
      <c r="G18" s="3">
        <v>0.92338709677419295</v>
      </c>
      <c r="H18" s="3">
        <v>0.77177419354838706</v>
      </c>
      <c r="I18" s="3">
        <v>0.91774193548387095</v>
      </c>
      <c r="J18" s="13"/>
      <c r="K18" s="4" t="s">
        <v>72</v>
      </c>
      <c r="L18" s="4" t="s">
        <v>97</v>
      </c>
      <c r="M18" s="4" t="s">
        <v>98</v>
      </c>
      <c r="N18" s="3">
        <v>6</v>
      </c>
      <c r="O18" s="3">
        <v>6121</v>
      </c>
      <c r="P18" s="3">
        <v>6072</v>
      </c>
      <c r="Q18" s="3">
        <v>3545</v>
      </c>
      <c r="R18" s="3">
        <v>1906</v>
      </c>
      <c r="S18" s="3">
        <v>1857</v>
      </c>
      <c r="T18" s="5" t="s">
        <v>99</v>
      </c>
    </row>
    <row r="19" spans="1:20" ht="116.6" x14ac:dyDescent="0.4">
      <c r="A19" s="2" t="s">
        <v>100</v>
      </c>
      <c r="B19" s="2" t="s">
        <v>66</v>
      </c>
      <c r="C19" s="3">
        <v>50</v>
      </c>
      <c r="D19" s="3">
        <v>10</v>
      </c>
      <c r="E19" s="3">
        <v>0.85</v>
      </c>
      <c r="F19" s="3">
        <v>0.8</v>
      </c>
      <c r="G19" s="3">
        <v>0.91411290322580596</v>
      </c>
      <c r="H19" s="3">
        <v>0.77661290322580601</v>
      </c>
      <c r="I19" s="3">
        <v>0.91209677419354795</v>
      </c>
      <c r="J19" s="13"/>
      <c r="K19" s="4" t="s">
        <v>101</v>
      </c>
      <c r="L19" s="4" t="s">
        <v>102</v>
      </c>
      <c r="M19" s="4" t="s">
        <v>103</v>
      </c>
      <c r="N19" s="3">
        <v>6</v>
      </c>
      <c r="O19" s="3">
        <v>6127</v>
      </c>
      <c r="P19" s="3">
        <v>6018</v>
      </c>
      <c r="Q19" s="3">
        <v>3647</v>
      </c>
      <c r="R19" s="3">
        <v>1912</v>
      </c>
      <c r="S19" s="3">
        <v>1803</v>
      </c>
      <c r="T19" s="5" t="s">
        <v>104</v>
      </c>
    </row>
    <row r="20" spans="1:20" ht="116.6" x14ac:dyDescent="0.4">
      <c r="A20" s="2" t="s">
        <v>105</v>
      </c>
      <c r="B20" s="2" t="s">
        <v>106</v>
      </c>
      <c r="C20" s="3">
        <v>80</v>
      </c>
      <c r="D20" s="3">
        <v>5</v>
      </c>
      <c r="E20" s="3">
        <v>0.95</v>
      </c>
      <c r="F20" s="3">
        <v>0.9</v>
      </c>
      <c r="G20" s="3">
        <v>0.863709677419354</v>
      </c>
      <c r="H20" s="3">
        <v>0.69112903225806399</v>
      </c>
      <c r="I20" s="3">
        <v>0.82741935483870899</v>
      </c>
      <c r="J20" s="13">
        <f>AVERAGE(I20:I28)</f>
        <v>0.85703405017921108</v>
      </c>
      <c r="K20" s="4" t="s">
        <v>107</v>
      </c>
      <c r="L20" s="4" t="s">
        <v>108</v>
      </c>
      <c r="M20" s="4" t="s">
        <v>109</v>
      </c>
      <c r="N20" s="3">
        <v>6</v>
      </c>
      <c r="O20" s="3">
        <v>4423</v>
      </c>
      <c r="P20" s="3">
        <v>4327</v>
      </c>
      <c r="Q20" s="3">
        <v>5511</v>
      </c>
      <c r="R20" s="3">
        <v>2738</v>
      </c>
      <c r="S20" s="3">
        <v>2642</v>
      </c>
      <c r="T20" s="5" t="s">
        <v>110</v>
      </c>
    </row>
    <row r="21" spans="1:20" ht="116.6" x14ac:dyDescent="0.4">
      <c r="A21" s="2" t="s">
        <v>111</v>
      </c>
      <c r="B21" s="2" t="s">
        <v>106</v>
      </c>
      <c r="C21" s="3">
        <v>80</v>
      </c>
      <c r="D21" s="3">
        <v>5</v>
      </c>
      <c r="E21" s="3">
        <v>0.9</v>
      </c>
      <c r="F21" s="3">
        <v>0.85</v>
      </c>
      <c r="G21" s="3">
        <v>0.8</v>
      </c>
      <c r="H21" s="3">
        <v>0.70483870967741902</v>
      </c>
      <c r="I21" s="3">
        <v>0.78830645161290303</v>
      </c>
      <c r="J21" s="13"/>
      <c r="K21" s="4" t="s">
        <v>112</v>
      </c>
      <c r="L21" s="4" t="s">
        <v>113</v>
      </c>
      <c r="M21" s="4" t="s">
        <v>114</v>
      </c>
      <c r="N21" s="3">
        <v>6</v>
      </c>
      <c r="O21" s="3">
        <v>4478</v>
      </c>
      <c r="P21" s="3">
        <v>4420</v>
      </c>
      <c r="Q21" s="3">
        <v>5505</v>
      </c>
      <c r="R21" s="3">
        <v>2793</v>
      </c>
      <c r="S21" s="3">
        <v>2735</v>
      </c>
      <c r="T21" s="5" t="s">
        <v>115</v>
      </c>
    </row>
    <row r="22" spans="1:20" ht="116.6" x14ac:dyDescent="0.4">
      <c r="A22" s="2" t="s">
        <v>116</v>
      </c>
      <c r="B22" s="2" t="s">
        <v>106</v>
      </c>
      <c r="C22" s="3">
        <v>80</v>
      </c>
      <c r="D22" s="3">
        <v>5</v>
      </c>
      <c r="E22" s="3">
        <v>0.85</v>
      </c>
      <c r="F22" s="3">
        <v>0.8</v>
      </c>
      <c r="G22" s="3">
        <v>0.86814516129032204</v>
      </c>
      <c r="H22" s="3">
        <v>0.73588709677419295</v>
      </c>
      <c r="I22" s="3">
        <v>0.84435483870967698</v>
      </c>
      <c r="J22" s="13"/>
      <c r="K22" s="4" t="s">
        <v>117</v>
      </c>
      <c r="L22" s="4" t="s">
        <v>118</v>
      </c>
      <c r="M22" s="4" t="s">
        <v>119</v>
      </c>
      <c r="N22" s="3">
        <v>6</v>
      </c>
      <c r="O22" s="3">
        <v>4504</v>
      </c>
      <c r="P22" s="3">
        <v>4449</v>
      </c>
      <c r="Q22" s="3">
        <v>5599</v>
      </c>
      <c r="R22" s="3">
        <v>2819</v>
      </c>
      <c r="S22" s="3">
        <v>2764</v>
      </c>
      <c r="T22" s="5" t="s">
        <v>120</v>
      </c>
    </row>
    <row r="23" spans="1:20" ht="116.6" x14ac:dyDescent="0.4">
      <c r="A23" s="2" t="s">
        <v>121</v>
      </c>
      <c r="B23" s="2" t="s">
        <v>106</v>
      </c>
      <c r="C23" s="3">
        <v>80</v>
      </c>
      <c r="D23" s="3">
        <v>7</v>
      </c>
      <c r="E23" s="3">
        <v>0.95</v>
      </c>
      <c r="F23" s="3">
        <v>0.9</v>
      </c>
      <c r="G23" s="3">
        <v>0.87943548387096704</v>
      </c>
      <c r="H23" s="3">
        <v>0.71693548387096695</v>
      </c>
      <c r="I23" s="3">
        <v>0.86532258064516099</v>
      </c>
      <c r="J23" s="13"/>
      <c r="K23" s="4" t="s">
        <v>122</v>
      </c>
      <c r="L23" s="4" t="s">
        <v>123</v>
      </c>
      <c r="M23" s="4" t="s">
        <v>124</v>
      </c>
      <c r="N23" s="3">
        <v>6</v>
      </c>
      <c r="O23" s="3">
        <v>4129</v>
      </c>
      <c r="P23" s="3">
        <v>3973</v>
      </c>
      <c r="Q23" s="3">
        <v>4803</v>
      </c>
      <c r="R23" s="3">
        <v>2444</v>
      </c>
      <c r="S23" s="3">
        <v>2288</v>
      </c>
      <c r="T23" s="5" t="s">
        <v>125</v>
      </c>
    </row>
    <row r="24" spans="1:20" ht="116.6" x14ac:dyDescent="0.4">
      <c r="A24" s="2" t="s">
        <v>126</v>
      </c>
      <c r="B24" s="2" t="s">
        <v>106</v>
      </c>
      <c r="C24" s="3">
        <v>80</v>
      </c>
      <c r="D24" s="3">
        <v>7</v>
      </c>
      <c r="E24" s="3">
        <v>0.9</v>
      </c>
      <c r="F24" s="3">
        <v>0.85</v>
      </c>
      <c r="G24" s="3">
        <v>0.90564516129032202</v>
      </c>
      <c r="H24" s="3">
        <v>0.69395161290322505</v>
      </c>
      <c r="I24" s="3">
        <v>0.87782258064516105</v>
      </c>
      <c r="J24" s="13"/>
      <c r="K24" s="4" t="s">
        <v>127</v>
      </c>
      <c r="L24" s="4" t="s">
        <v>128</v>
      </c>
      <c r="M24" s="4" t="s">
        <v>129</v>
      </c>
      <c r="N24" s="3">
        <v>6</v>
      </c>
      <c r="O24" s="3">
        <v>4141</v>
      </c>
      <c r="P24" s="3">
        <v>4085</v>
      </c>
      <c r="Q24" s="3">
        <v>4911</v>
      </c>
      <c r="R24" s="3">
        <v>2456</v>
      </c>
      <c r="S24" s="3">
        <v>2400</v>
      </c>
      <c r="T24" s="5" t="s">
        <v>130</v>
      </c>
    </row>
    <row r="25" spans="1:20" ht="116.6" x14ac:dyDescent="0.4">
      <c r="A25" s="2" t="s">
        <v>131</v>
      </c>
      <c r="B25" s="2" t="s">
        <v>106</v>
      </c>
      <c r="C25" s="3">
        <v>80</v>
      </c>
      <c r="D25" s="3">
        <v>7</v>
      </c>
      <c r="E25" s="3">
        <v>0.85</v>
      </c>
      <c r="F25" s="3">
        <v>0.8</v>
      </c>
      <c r="G25" s="3">
        <v>0.85362903225806397</v>
      </c>
      <c r="H25" s="3">
        <v>0.72258064516128995</v>
      </c>
      <c r="I25" s="3">
        <v>0.84798387096774197</v>
      </c>
      <c r="J25" s="13"/>
      <c r="K25" s="4" t="s">
        <v>132</v>
      </c>
      <c r="L25" s="4" t="s">
        <v>133</v>
      </c>
      <c r="M25" s="4" t="s">
        <v>134</v>
      </c>
      <c r="N25" s="3">
        <v>6</v>
      </c>
      <c r="O25" s="3">
        <v>4143</v>
      </c>
      <c r="P25" s="3">
        <v>4034</v>
      </c>
      <c r="Q25" s="3">
        <v>4845</v>
      </c>
      <c r="R25" s="3">
        <v>2458</v>
      </c>
      <c r="S25" s="3">
        <v>2349</v>
      </c>
      <c r="T25" s="5" t="s">
        <v>135</v>
      </c>
    </row>
    <row r="26" spans="1:20" ht="116.6" x14ac:dyDescent="0.4">
      <c r="A26" s="2" t="s">
        <v>136</v>
      </c>
      <c r="B26" s="2" t="s">
        <v>106</v>
      </c>
      <c r="C26" s="3">
        <v>80</v>
      </c>
      <c r="D26" s="3">
        <v>10</v>
      </c>
      <c r="E26" s="3">
        <v>0.95</v>
      </c>
      <c r="F26" s="3">
        <v>0.9</v>
      </c>
      <c r="G26" s="3">
        <v>0.91088709677419299</v>
      </c>
      <c r="H26" s="3">
        <v>0.72903225806451599</v>
      </c>
      <c r="I26" s="3">
        <v>0.89233870967741902</v>
      </c>
      <c r="J26" s="13"/>
      <c r="K26" s="4" t="s">
        <v>137</v>
      </c>
      <c r="L26" s="4" t="s">
        <v>138</v>
      </c>
      <c r="M26" s="4" t="s">
        <v>139</v>
      </c>
      <c r="N26" s="3">
        <v>6</v>
      </c>
      <c r="O26" s="3">
        <v>3558</v>
      </c>
      <c r="P26" s="3">
        <v>3575</v>
      </c>
      <c r="Q26" s="3">
        <v>3659</v>
      </c>
      <c r="R26" s="3">
        <v>1873</v>
      </c>
      <c r="S26" s="3">
        <v>1890</v>
      </c>
      <c r="T26" s="5" t="s">
        <v>140</v>
      </c>
    </row>
    <row r="27" spans="1:20" ht="116.6" x14ac:dyDescent="0.4">
      <c r="A27" s="2" t="s">
        <v>141</v>
      </c>
      <c r="B27" s="2" t="s">
        <v>106</v>
      </c>
      <c r="C27" s="3">
        <v>80</v>
      </c>
      <c r="D27" s="3">
        <v>10</v>
      </c>
      <c r="E27" s="3">
        <v>0.9</v>
      </c>
      <c r="F27" s="3">
        <v>0.85</v>
      </c>
      <c r="G27" s="3">
        <v>0.86895161290322498</v>
      </c>
      <c r="H27" s="3">
        <v>0.72338709677419299</v>
      </c>
      <c r="I27" s="3">
        <v>0.87379032258064504</v>
      </c>
      <c r="J27" s="13"/>
      <c r="K27" s="4" t="s">
        <v>142</v>
      </c>
      <c r="L27" s="4" t="s">
        <v>143</v>
      </c>
      <c r="M27" s="4" t="s">
        <v>144</v>
      </c>
      <c r="N27" s="3">
        <v>6</v>
      </c>
      <c r="O27" s="3">
        <v>3583</v>
      </c>
      <c r="P27" s="3">
        <v>3475</v>
      </c>
      <c r="Q27" s="3">
        <v>3614</v>
      </c>
      <c r="R27" s="3">
        <v>1898</v>
      </c>
      <c r="S27" s="3">
        <v>1790</v>
      </c>
      <c r="T27" s="5" t="s">
        <v>145</v>
      </c>
    </row>
    <row r="28" spans="1:20" ht="116.6" x14ac:dyDescent="0.4">
      <c r="A28" s="2" t="s">
        <v>146</v>
      </c>
      <c r="B28" s="2" t="s">
        <v>106</v>
      </c>
      <c r="C28" s="3">
        <v>80</v>
      </c>
      <c r="D28" s="3">
        <v>10</v>
      </c>
      <c r="E28" s="3">
        <v>0.85</v>
      </c>
      <c r="F28" s="3">
        <v>0.8</v>
      </c>
      <c r="G28" s="3">
        <v>0.907258064516129</v>
      </c>
      <c r="H28" s="3">
        <v>0.72499999999999998</v>
      </c>
      <c r="I28" s="3">
        <v>0.89596774193548301</v>
      </c>
      <c r="J28" s="13"/>
      <c r="K28" s="4" t="s">
        <v>147</v>
      </c>
      <c r="L28" s="4" t="s">
        <v>148</v>
      </c>
      <c r="M28" s="4" t="s">
        <v>149</v>
      </c>
      <c r="N28" s="3">
        <v>6</v>
      </c>
      <c r="O28" s="3">
        <v>3580</v>
      </c>
      <c r="P28" s="3">
        <v>3526</v>
      </c>
      <c r="Q28" s="3">
        <v>3624</v>
      </c>
      <c r="R28" s="3">
        <v>1895</v>
      </c>
      <c r="S28" s="3">
        <v>1841</v>
      </c>
      <c r="T28" s="5" t="s">
        <v>150</v>
      </c>
    </row>
    <row r="47" spans="1:4" x14ac:dyDescent="0.4">
      <c r="A47" t="s">
        <v>152</v>
      </c>
    </row>
    <row r="48" spans="1:4" x14ac:dyDescent="0.4">
      <c r="A48" t="s">
        <v>153</v>
      </c>
      <c r="B48" t="s">
        <v>154</v>
      </c>
      <c r="C48" t="s">
        <v>155</v>
      </c>
      <c r="D48" t="s">
        <v>156</v>
      </c>
    </row>
    <row r="49" spans="1:2" ht="33" customHeight="1" x14ac:dyDescent="0.4">
      <c r="A49" s="10"/>
      <c r="B49" s="10" t="s">
        <v>154</v>
      </c>
    </row>
  </sheetData>
  <mergeCells count="3">
    <mergeCell ref="J2:J10"/>
    <mergeCell ref="J11:J19"/>
    <mergeCell ref="J20:J28"/>
  </mergeCells>
  <conditionalFormatting sqref="G2:J2 G11:J11 G3:I10 G20:J20 G12:I19 G21:I28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J20 J1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2903-7A13-453F-A632-E06CB39D97BF}">
  <dimension ref="A1:S13"/>
  <sheetViews>
    <sheetView tabSelected="1" zoomScale="70" zoomScaleNormal="70" workbookViewId="0">
      <selection activeCell="I4" sqref="I4"/>
    </sheetView>
  </sheetViews>
  <sheetFormatPr defaultRowHeight="14.6" x14ac:dyDescent="0.4"/>
  <cols>
    <col min="1" max="1" width="29.4609375" bestFit="1" customWidth="1"/>
    <col min="2" max="2" width="11.4609375" bestFit="1" customWidth="1"/>
    <col min="3" max="3" width="12.69140625" bestFit="1" customWidth="1"/>
    <col min="4" max="4" width="14.07421875" bestFit="1" customWidth="1"/>
    <col min="5" max="5" width="8.15234375" bestFit="1" customWidth="1"/>
    <col min="6" max="6" width="7.3828125" bestFit="1" customWidth="1"/>
    <col min="7" max="9" width="18.53515625" bestFit="1" customWidth="1"/>
    <col min="10" max="11" width="19.53515625" bestFit="1" customWidth="1"/>
    <col min="12" max="12" width="24.765625" bestFit="1" customWidth="1"/>
    <col min="13" max="13" width="11.23046875" bestFit="1" customWidth="1"/>
    <col min="14" max="14" width="12.15234375" bestFit="1" customWidth="1"/>
    <col min="15" max="15" width="11.3828125" bestFit="1" customWidth="1"/>
    <col min="16" max="16" width="14.07421875" bestFit="1" customWidth="1"/>
    <col min="17" max="17" width="18.4609375" bestFit="1" customWidth="1"/>
    <col min="18" max="19" width="17.69140625" bestFit="1" customWidth="1"/>
    <col min="20" max="20" width="9.765625" bestFit="1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171</v>
      </c>
      <c r="H1" s="7" t="s">
        <v>7</v>
      </c>
      <c r="I1" s="8" t="s">
        <v>8</v>
      </c>
      <c r="J1" s="19" t="s">
        <v>172</v>
      </c>
      <c r="K1" s="1" t="s">
        <v>10</v>
      </c>
      <c r="L1" s="1" t="s">
        <v>11</v>
      </c>
      <c r="M1" s="1" t="s">
        <v>12</v>
      </c>
      <c r="N1" s="19" t="s">
        <v>174</v>
      </c>
      <c r="O1" s="1" t="s">
        <v>14</v>
      </c>
      <c r="P1" s="1" t="s">
        <v>15</v>
      </c>
      <c r="Q1" s="19" t="s">
        <v>173</v>
      </c>
      <c r="R1" s="1" t="s">
        <v>17</v>
      </c>
      <c r="S1" s="1" t="s">
        <v>18</v>
      </c>
    </row>
    <row r="2" spans="1:19" ht="116.6" x14ac:dyDescent="0.4">
      <c r="A2" s="16" t="s">
        <v>105</v>
      </c>
      <c r="B2" s="16" t="s">
        <v>106</v>
      </c>
      <c r="C2" s="11">
        <v>80</v>
      </c>
      <c r="D2" s="11">
        <v>5</v>
      </c>
      <c r="E2" s="11">
        <v>0.95</v>
      </c>
      <c r="F2" s="11">
        <v>0.9</v>
      </c>
      <c r="G2" s="17">
        <v>0.86854838709677396</v>
      </c>
      <c r="H2" s="11">
        <v>0.79314516129032198</v>
      </c>
      <c r="I2" s="11">
        <v>0.86129032258064497</v>
      </c>
      <c r="J2" s="15" t="s">
        <v>157</v>
      </c>
      <c r="K2" s="15" t="s">
        <v>158</v>
      </c>
      <c r="L2" s="15" t="s">
        <v>159</v>
      </c>
      <c r="M2" s="11">
        <v>6</v>
      </c>
      <c r="N2" s="11">
        <v>3465</v>
      </c>
      <c r="O2" s="11">
        <v>4401</v>
      </c>
      <c r="P2" s="11">
        <v>7371</v>
      </c>
      <c r="Q2" s="11">
        <v>2172</v>
      </c>
      <c r="R2" s="11">
        <v>3108</v>
      </c>
      <c r="S2" s="17" t="s">
        <v>160</v>
      </c>
    </row>
    <row r="3" spans="1:19" ht="116.6" x14ac:dyDescent="0.4">
      <c r="A3" s="16" t="s">
        <v>65</v>
      </c>
      <c r="B3" s="16" t="s">
        <v>66</v>
      </c>
      <c r="C3" s="11">
        <v>50</v>
      </c>
      <c r="D3" s="11">
        <v>5</v>
      </c>
      <c r="E3" s="11">
        <v>0.95</v>
      </c>
      <c r="F3" s="11">
        <v>0.9</v>
      </c>
      <c r="G3" s="11">
        <v>0.93064516129032204</v>
      </c>
      <c r="H3" s="11">
        <v>0.82822580645161203</v>
      </c>
      <c r="I3" s="11">
        <v>0.93024193548387102</v>
      </c>
      <c r="J3" s="15" t="s">
        <v>161</v>
      </c>
      <c r="K3" s="15" t="s">
        <v>162</v>
      </c>
      <c r="L3" s="15" t="s">
        <v>163</v>
      </c>
      <c r="M3" s="11">
        <v>6</v>
      </c>
      <c r="N3" s="11">
        <v>5548</v>
      </c>
      <c r="O3" s="11">
        <v>6097</v>
      </c>
      <c r="P3" s="11">
        <v>4866</v>
      </c>
      <c r="Q3" s="11">
        <v>1333</v>
      </c>
      <c r="R3" s="11">
        <v>1882</v>
      </c>
      <c r="S3" s="17" t="s">
        <v>164</v>
      </c>
    </row>
    <row r="4" spans="1:19" ht="116.6" x14ac:dyDescent="0.4">
      <c r="A4" s="16" t="s">
        <v>19</v>
      </c>
      <c r="B4" s="16" t="s">
        <v>20</v>
      </c>
      <c r="C4" s="11">
        <v>20</v>
      </c>
      <c r="D4" s="11">
        <v>5</v>
      </c>
      <c r="E4" s="11">
        <v>0.95</v>
      </c>
      <c r="F4" s="11">
        <v>0.9</v>
      </c>
      <c r="G4" s="11">
        <v>0.94032258064516105</v>
      </c>
      <c r="H4" s="11">
        <v>0.83024193548387004</v>
      </c>
      <c r="I4" s="11">
        <v>0.94395161290322505</v>
      </c>
      <c r="J4" s="15" t="s">
        <v>165</v>
      </c>
      <c r="K4" s="15" t="s">
        <v>166</v>
      </c>
      <c r="L4" s="15" t="s">
        <v>167</v>
      </c>
      <c r="M4" s="11">
        <v>6</v>
      </c>
      <c r="N4" s="11">
        <v>7074</v>
      </c>
      <c r="O4" s="11">
        <v>6929</v>
      </c>
      <c r="P4" s="11">
        <v>1946</v>
      </c>
      <c r="Q4" s="11">
        <v>330</v>
      </c>
      <c r="R4" s="11">
        <v>185</v>
      </c>
      <c r="S4" s="17" t="s">
        <v>168</v>
      </c>
    </row>
    <row r="6" spans="1:19" x14ac:dyDescent="0.4">
      <c r="A6" s="14" t="s">
        <v>169</v>
      </c>
    </row>
    <row r="8" spans="1:19" x14ac:dyDescent="0.4">
      <c r="A8" t="s">
        <v>170</v>
      </c>
    </row>
    <row r="9" spans="1:19" x14ac:dyDescent="0.4">
      <c r="B9" t="s">
        <v>175</v>
      </c>
      <c r="C9" t="s">
        <v>176</v>
      </c>
      <c r="D9" t="s">
        <v>177</v>
      </c>
    </row>
    <row r="10" spans="1:19" x14ac:dyDescent="0.4">
      <c r="A10" t="s">
        <v>178</v>
      </c>
      <c r="B10">
        <v>0.75890000000000002</v>
      </c>
      <c r="C10">
        <v>0.78910000000000002</v>
      </c>
      <c r="D10">
        <v>0.82179999999999997</v>
      </c>
    </row>
    <row r="11" spans="1:19" x14ac:dyDescent="0.4">
      <c r="A11" t="s">
        <v>180</v>
      </c>
      <c r="B11">
        <v>0.73829999999999996</v>
      </c>
      <c r="C11">
        <v>0.7944</v>
      </c>
      <c r="D11">
        <v>0.83540000000000003</v>
      </c>
    </row>
    <row r="12" spans="1:19" x14ac:dyDescent="0.4">
      <c r="A12" t="s">
        <v>179</v>
      </c>
    </row>
    <row r="13" spans="1:19" x14ac:dyDescent="0.4">
      <c r="A1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18.12.2025</vt:lpstr>
      <vt:lpstr>16.12.2025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2025-11-17T07:58:50Z</dcterms:created>
  <dcterms:modified xsi:type="dcterms:W3CDTF">2025-12-16T08:57:42Z</dcterms:modified>
</cp:coreProperties>
</file>